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DH registry 23-25 (current)" sheetId="1" state="visible" r:id="rId3"/>
    <sheet name="Legend" sheetId="2" state="visible" r:id="rId4"/>
    <sheet name="FU calls" sheetId="3" state="visible" r:id="rId5"/>
    <sheet name="old_DO NOT USE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<sst xmlns="http://schemas.openxmlformats.org/spreadsheetml/2006/main" count="1919" uniqueCount="766">
  <si>
    <t xml:space="preserve">cSDH registry  Neurosurgery  last updated ??? (ask Tom before editing!!)</t>
  </si>
  <si>
    <t xml:space="preserve">Patient</t>
  </si>
  <si>
    <t xml:space="preserve">Stay</t>
  </si>
  <si>
    <t xml:space="preserve">Admission / imaging</t>
  </si>
  <si>
    <t xml:space="preserve">Surgery</t>
  </si>
  <si>
    <t xml:space="preserve">Outcome</t>
  </si>
  <si>
    <t xml:space="preserve">#</t>
  </si>
  <si>
    <t xml:space="preserve">Pt ID</t>
  </si>
  <si>
    <t xml:space="preserve">MRN</t>
  </si>
  <si>
    <t xml:space="preserve">Name</t>
  </si>
  <si>
    <t xml:space="preserve">DOB</t>
  </si>
  <si>
    <t xml:space="preserve">Age</t>
  </si>
  <si>
    <t xml:space="preserve">Sex</t>
  </si>
  <si>
    <t xml:space="preserve">Zip</t>
  </si>
  <si>
    <t xml:space="preserve">Phone (FU call)</t>
  </si>
  <si>
    <t xml:space="preserve">Admission</t>
  </si>
  <si>
    <t xml:space="preserve">Discharge</t>
  </si>
  <si>
    <t xml:space="preserve">LOS (days)</t>
  </si>
  <si>
    <t xml:space="preserve">Trauma?</t>
  </si>
  <si>
    <t xml:space="preserve">Anticoag / antiplatelet</t>
  </si>
  <si>
    <t xml:space="preserve">INR</t>
  </si>
  <si>
    <t xml:space="preserve">Platelets</t>
  </si>
  <si>
    <t xml:space="preserve">GCS adm</t>
  </si>
  <si>
    <t xml:space="preserve">Markwalder</t>
  </si>
  <si>
    <t xml:space="preserve">Side</t>
  </si>
  <si>
    <t xml:space="preserve">Thickness (mm)</t>
  </si>
  <si>
    <t xml:space="preserve">Midline shift mm</t>
  </si>
  <si>
    <t xml:space="preserve">Density</t>
  </si>
  <si>
    <t xml:space="preserve">Surgery date</t>
  </si>
  <si>
    <t xml:space="preserve">Drain</t>
  </si>
  <si>
    <t xml:space="preserve">Drain days</t>
  </si>
  <si>
    <t xml:space="preserve">Op time</t>
  </si>
  <si>
    <t xml:space="preserve">Complications</t>
  </si>
  <si>
    <t xml:space="preserve">Recurrence</t>
  </si>
  <si>
    <t xml:space="preserve">Re-op (y/n)</t>
  </si>
  <si>
    <t xml:space="preserve">Re-op date</t>
  </si>
  <si>
    <t xml:space="preserve">mRS discharge</t>
  </si>
  <si>
    <t xml:space="preserve">Discharge mRS</t>
  </si>
  <si>
    <t xml:space="preserve">mRS 3mo</t>
  </si>
  <si>
    <t xml:space="preserve">FU call done</t>
  </si>
  <si>
    <t xml:space="preserve">Died</t>
  </si>
  <si>
    <t xml:space="preserve">Date of death</t>
  </si>
  <si>
    <t xml:space="preserve">Notes</t>
  </si>
  <si>
    <t xml:space="preserve">check!!</t>
  </si>
  <si>
    <t xml:space="preserve">Column1</t>
  </si>
  <si>
    <t xml:space="preserve">old ID</t>
  </si>
  <si>
    <t xml:space="preserve">SDH-050</t>
  </si>
  <si>
    <t xml:space="preserve">WEISS, David</t>
  </si>
  <si>
    <t xml:space="preserve">M</t>
  </si>
  <si>
    <t xml:space="preserve">07/01/2023</t>
  </si>
  <si>
    <t xml:space="preserve">Y</t>
  </si>
  <si>
    <t xml:space="preserve">apixaban 5mg</t>
  </si>
  <si>
    <t xml:space="preserve">1-2</t>
  </si>
  <si>
    <t xml:space="preserve">re</t>
  </si>
  <si>
    <t xml:space="preserve">-</t>
  </si>
  <si>
    <t xml:space="preserve">hyperdense</t>
  </si>
  <si>
    <t xml:space="preserve">BH</t>
  </si>
  <si>
    <t xml:space="preserve">TRUE</t>
  </si>
  <si>
    <t xml:space="preserve">1h02</t>
  </si>
  <si>
    <t xml:space="preserve">y</t>
  </si>
  <si>
    <t xml:space="preserve">✓</t>
  </si>
  <si>
    <t xml:space="preserve">ask Dr. K</t>
  </si>
  <si>
    <t xml:space="preserve">ok</t>
  </si>
  <si>
    <t xml:space="preserve">WEI42</t>
  </si>
  <si>
    <t xml:space="preserve">SDH-032</t>
  </si>
  <si>
    <t xml:space="preserve">c. foster</t>
  </si>
  <si>
    <t xml:space="preserve">1956-07-26</t>
  </si>
  <si>
    <t xml:space="preserve">F</t>
  </si>
  <si>
    <t xml:space="preserve">57624</t>
  </si>
  <si>
    <t xml:space="preserve">158-314 7519 (daughter)</t>
  </si>
  <si>
    <t xml:space="preserve">unknown</t>
  </si>
  <si>
    <t xml:space="preserve">none</t>
  </si>
  <si>
    <t xml:space="preserve">normal</t>
  </si>
  <si>
    <t xml:space="preserve">B</t>
  </si>
  <si>
    <t xml:space="preserve">chronic w acute comp.</t>
  </si>
  <si>
    <t xml:space="preserve">58 min</t>
  </si>
  <si>
    <t xml:space="preserve">pneumonia (see email 3/12)</t>
  </si>
  <si>
    <t xml:space="preserve">N</t>
  </si>
  <si>
    <t xml:space="preserve">n</t>
  </si>
  <si>
    <t xml:space="preserve">yes (voicemail)</t>
  </si>
  <si>
    <t xml:space="preserve">yes</t>
  </si>
  <si>
    <t xml:space="preserve">FOS56</t>
  </si>
  <si>
    <t xml:space="preserve">SDH-065</t>
  </si>
  <si>
    <t xml:space="preserve">BROOKS, Peter</t>
  </si>
  <si>
    <t xml:space="preserve">m </t>
  </si>
  <si>
    <t xml:space="preserve">2023-01-11</t>
  </si>
  <si>
    <t xml:space="preserve">2023-01-23</t>
  </si>
  <si>
    <t xml:space="preserve">?</t>
  </si>
  <si>
    <t xml:space="preserve">ASA 100</t>
  </si>
  <si>
    <t xml:space="preserve">350k</t>
  </si>
  <si>
    <t xml:space="preserve">2-3</t>
  </si>
  <si>
    <t xml:space="preserve">li</t>
  </si>
  <si>
    <t xml:space="preserve">13th Jan 2023</t>
  </si>
  <si>
    <t xml:space="preserve">3?</t>
  </si>
  <si>
    <t xml:space="preserve">lost to FU</t>
  </si>
  <si>
    <t xml:space="preserve">BRO62</t>
  </si>
  <si>
    <t xml:space="preserve">SDH-013</t>
  </si>
  <si>
    <t xml:space="preserve">WALSH, James</t>
  </si>
  <si>
    <t xml:space="preserve">fall</t>
  </si>
  <si>
    <t xml:space="preserve">0,9</t>
  </si>
  <si>
    <t xml:space="preserve">R </t>
  </si>
  <si>
    <t xml:space="preserve">iso</t>
  </si>
  <si>
    <t xml:space="preserve">TDC</t>
  </si>
  <si>
    <t xml:space="preserve">20/01/2023</t>
  </si>
  <si>
    <t xml:space="preserve">seizure</t>
  </si>
  <si>
    <t xml:space="preserve">0</t>
  </si>
  <si>
    <t xml:space="preserve">no</t>
  </si>
  <si>
    <t xml:space="preserve">consent missing</t>
  </si>
  <si>
    <t xml:space="preserve">WAL48</t>
  </si>
  <si>
    <t xml:space="preserve">sdh 46</t>
  </si>
  <si>
    <t xml:space="preserve">FISCHER, Susan</t>
  </si>
  <si>
    <t xml:space="preserve">76656</t>
  </si>
  <si>
    <t xml:space="preserve">173-866 8971 (daughter)</t>
  </si>
  <si>
    <t xml:space="preserve">fall from bed</t>
  </si>
  <si>
    <t xml:space="preserve">heparin s.c. (prophylaxis)</t>
  </si>
  <si>
    <t xml:space="preserve">both</t>
  </si>
  <si>
    <t xml:space="preserve">hypo</t>
  </si>
  <si>
    <t xml:space="preserve">1h08</t>
  </si>
  <si>
    <t xml:space="preserve">delir</t>
  </si>
  <si>
    <t xml:space="preserve">4?</t>
  </si>
  <si>
    <t xml:space="preserve">excluded?</t>
  </si>
  <si>
    <t xml:space="preserve">!!</t>
  </si>
  <si>
    <t xml:space="preserve">FIS49</t>
  </si>
  <si>
    <t xml:space="preserve">sdh 20</t>
  </si>
  <si>
    <t xml:space="preserve">d. bishop</t>
  </si>
  <si>
    <t xml:space="preserve">1962-06-23</t>
  </si>
  <si>
    <t xml:space="preserve">74022</t>
  </si>
  <si>
    <t xml:space="preserve">0159/6845943</t>
  </si>
  <si>
    <t xml:space="preserve">aspirin</t>
  </si>
  <si>
    <t xml:space="preserve">80 min</t>
  </si>
  <si>
    <t xml:space="preserve">n/a</t>
  </si>
  <si>
    <t xml:space="preserve">CT 12.03.2024 stable</t>
  </si>
  <si>
    <t xml:space="preserve">BIS62</t>
  </si>
  <si>
    <t xml:space="preserve">SDH-077</t>
  </si>
  <si>
    <t xml:space="preserve">m. hughes</t>
  </si>
  <si>
    <t xml:space="preserve">61y</t>
  </si>
  <si>
    <t xml:space="preserve">29/01/2023</t>
  </si>
  <si>
    <t xml:space="preserve">5th Feb 2023</t>
  </si>
  <si>
    <t xml:space="preserve">7 days</t>
  </si>
  <si>
    <t xml:space="preserve">15 (E3V5M6)</t>
  </si>
  <si>
    <t xml:space="preserve">0-1</t>
  </si>
  <si>
    <t xml:space="preserve">R</t>
  </si>
  <si>
    <t xml:space="preserve">mixed (membranes)</t>
  </si>
  <si>
    <t xml:space="preserve">UTI, delirium</t>
  </si>
  <si>
    <t xml:space="preserve">daughter is contact</t>
  </si>
  <si>
    <t xml:space="preserve">HUG61</t>
  </si>
  <si>
    <t xml:space="preserve">SDH-059</t>
  </si>
  <si>
    <t xml:space="preserve">NOVAK, Helen</t>
  </si>
  <si>
    <t xml:space="preserve">f</t>
  </si>
  <si>
    <t xml:space="preserve">8 (E2V2M6)</t>
  </si>
  <si>
    <t xml:space="preserve">3-4</t>
  </si>
  <si>
    <t xml:space="preserve">Left</t>
  </si>
  <si>
    <t xml:space="preserve">28mm</t>
  </si>
  <si>
    <t xml:space="preserve">1</t>
  </si>
  <si>
    <t xml:space="preserve">67 min</t>
  </si>
  <si>
    <t xml:space="preserve">NOV59</t>
  </si>
  <si>
    <t xml:space="preserve">SDH-030</t>
  </si>
  <si>
    <t xml:space="preserve">Mary Weiss</t>
  </si>
  <si>
    <t xml:space="preserve">W</t>
  </si>
  <si>
    <t xml:space="preserve">4-4</t>
  </si>
  <si>
    <t xml:space="preserve">WEI58</t>
  </si>
  <si>
    <t xml:space="preserve">sdh 60</t>
  </si>
  <si>
    <t xml:space="preserve">MRN 4223885</t>
  </si>
  <si>
    <t xml:space="preserve">HUGHES, Dorothy</t>
  </si>
  <si>
    <t xml:space="preserve">0156/1151878</t>
  </si>
  <si>
    <t xml:space="preserve">clopidogrel + ASA</t>
  </si>
  <si>
    <t xml:space="preserve">1,0</t>
  </si>
  <si>
    <t xml:space="preserve">398k</t>
  </si>
  <si>
    <t xml:space="preserve">left</t>
  </si>
  <si>
    <t xml:space="preserve">mixed</t>
  </si>
  <si>
    <t xml:space="preserve">FALSE</t>
  </si>
  <si>
    <t xml:space="preserve">2?</t>
  </si>
  <si>
    <t xml:space="preserve">pt moved to care home</t>
  </si>
  <si>
    <t xml:space="preserve">HUG30</t>
  </si>
  <si>
    <t xml:space="preserve">SDH-043</t>
  </si>
  <si>
    <t xml:space="preserve">MOREAU, Anne</t>
  </si>
  <si>
    <t xml:space="preserve">80y</t>
  </si>
  <si>
    <t xml:space="preserve">Eliquis</t>
  </si>
  <si>
    <t xml:space="preserve">30mm</t>
  </si>
  <si>
    <t xml:space="preserve">3/9/23</t>
  </si>
  <si>
    <t xml:space="preserve">MOR43</t>
  </si>
  <si>
    <t xml:space="preserve">SDH-027</t>
  </si>
  <si>
    <t xml:space="preserve">HUGHES, Carol</t>
  </si>
  <si>
    <t xml:space="preserve">female</t>
  </si>
  <si>
    <t xml:space="preserve">DOAC</t>
  </si>
  <si>
    <t xml:space="preserve">1,5</t>
  </si>
  <si>
    <t xml:space="preserve">126k</t>
  </si>
  <si>
    <t xml:space="preserve">right</t>
  </si>
  <si>
    <t xml:space="preserve">seizure; pneumonia</t>
  </si>
  <si>
    <t xml:space="preserve">035</t>
  </si>
  <si>
    <t xml:space="preserve">HAYES, Mary</t>
  </si>
  <si>
    <t xml:space="preserve">152-717 3754 (daughter)</t>
  </si>
  <si>
    <t xml:space="preserve">Marcumar</t>
  </si>
  <si>
    <t xml:space="preserve">2,3</t>
  </si>
  <si>
    <t xml:space="preserve">hypodense</t>
  </si>
  <si>
    <t xml:space="preserve">1d</t>
  </si>
  <si>
    <t xml:space="preserve">103 min</t>
  </si>
  <si>
    <t xml:space="preserve">transferred from other hospital</t>
  </si>
  <si>
    <t xml:space="preserve">HAY63</t>
  </si>
  <si>
    <t xml:space="preserve">sdh 42</t>
  </si>
  <si>
    <t xml:space="preserve">p. lang</t>
  </si>
  <si>
    <t xml:space="preserve">1,3</t>
  </si>
  <si>
    <t xml:space="preserve">bilat</t>
  </si>
  <si>
    <t xml:space="preserve">28/03/2023</t>
  </si>
  <si>
    <t xml:space="preserve">3d</t>
  </si>
  <si>
    <t xml:space="preserve">pneumonia</t>
  </si>
  <si>
    <t xml:space="preserve">LAN34</t>
  </si>
  <si>
    <t xml:space="preserve">SDH-017</t>
  </si>
  <si>
    <t xml:space="preserve">PETROV, Hans</t>
  </si>
  <si>
    <t xml:space="preserve">157-712 4797 (daughter)</t>
  </si>
  <si>
    <t xml:space="preserve">2023-04-14</t>
  </si>
  <si>
    <t xml:space="preserve">54 min</t>
  </si>
  <si>
    <t xml:space="preserve">PET60</t>
  </si>
  <si>
    <t xml:space="preserve">SDH-041</t>
  </si>
  <si>
    <t xml:space="preserve">WEISS, James</t>
  </si>
  <si>
    <t xml:space="preserve">5/11/65</t>
  </si>
  <si>
    <t xml:space="preserve">57y</t>
  </si>
  <si>
    <t xml:space="preserve">male</t>
  </si>
  <si>
    <t xml:space="preserve">158-702 3488 (daughter)</t>
  </si>
  <si>
    <t xml:space="preserve">warfarin</t>
  </si>
  <si>
    <t xml:space="preserve">crani</t>
  </si>
  <si>
    <t xml:space="preserve">2d</t>
  </si>
  <si>
    <t xml:space="preserve">1h36</t>
  </si>
  <si>
    <t xml:space="preserve">WEI65</t>
  </si>
  <si>
    <t xml:space="preserve">SDH-048</t>
  </si>
  <si>
    <t xml:space="preserve">GRANT, Mary</t>
  </si>
  <si>
    <t xml:space="preserve">70466</t>
  </si>
  <si>
    <t xml:space="preserve">GRA36</t>
  </si>
  <si>
    <t xml:space="preserve">SDH-067</t>
  </si>
  <si>
    <t xml:space="preserve">HAYES, Anne</t>
  </si>
  <si>
    <t xml:space="preserve">0172/4830287</t>
  </si>
  <si>
    <t xml:space="preserve">367k</t>
  </si>
  <si>
    <t xml:space="preserve">12 (E3V4M6)</t>
  </si>
  <si>
    <t xml:space="preserve">134 min</t>
  </si>
  <si>
    <t xml:space="preserve">HAY59</t>
  </si>
  <si>
    <t xml:space="preserve">SDH-049</t>
  </si>
  <si>
    <t xml:space="preserve">LANG, Rosa</t>
  </si>
  <si>
    <t xml:space="preserve">+49 165 5798268</t>
  </si>
  <si>
    <t xml:space="preserve">II</t>
  </si>
  <si>
    <t xml:space="preserve">0h26</t>
  </si>
  <si>
    <t xml:space="preserve">LAN58</t>
  </si>
  <si>
    <t xml:space="preserve">SDH-062</t>
  </si>
  <si>
    <t xml:space="preserve">MILLER, Susan</t>
  </si>
  <si>
    <t xml:space="preserve">18th Jan 1963</t>
  </si>
  <si>
    <t xml:space="preserve">25030</t>
  </si>
  <si>
    <t xml:space="preserve">175-638 9429 (daughter)</t>
  </si>
  <si>
    <t xml:space="preserve">189k</t>
  </si>
  <si>
    <t xml:space="preserve">burr hole</t>
  </si>
  <si>
    <t xml:space="preserve">5/25/23</t>
  </si>
  <si>
    <t xml:space="preserve">12/3/23</t>
  </si>
  <si>
    <t xml:space="preserve">MIL63</t>
  </si>
  <si>
    <t xml:space="preserve">005</t>
  </si>
  <si>
    <t xml:space="preserve">e. novak</t>
  </si>
  <si>
    <t xml:space="preserve">Plavix</t>
  </si>
  <si>
    <t xml:space="preserve">13 (E3V4M6)</t>
  </si>
  <si>
    <t xml:space="preserve">5?</t>
  </si>
  <si>
    <t xml:space="preserve">no answer</t>
  </si>
  <si>
    <t xml:space="preserve">NOV62</t>
  </si>
  <si>
    <t xml:space="preserve">sdh 28</t>
  </si>
  <si>
    <t xml:space="preserve">REED, Frank</t>
  </si>
  <si>
    <t xml:space="preserve">0176/2782086</t>
  </si>
  <si>
    <t xml:space="preserve">6/16/23</t>
  </si>
  <si>
    <t xml:space="preserve">9 days</t>
  </si>
  <si>
    <t xml:space="preserve">29/07/2023</t>
  </si>
  <si>
    <t xml:space="preserve">25/09/2023</t>
  </si>
  <si>
    <t xml:space="preserve">REE28</t>
  </si>
  <si>
    <t xml:space="preserve">SDH-057</t>
  </si>
  <si>
    <t xml:space="preserve">a. webb</t>
  </si>
  <si>
    <t xml:space="preserve">64y</t>
  </si>
  <si>
    <t xml:space="preserve">51643</t>
  </si>
  <si>
    <t xml:space="preserve">159-370 9057 (daughter)</t>
  </si>
  <si>
    <t xml:space="preserve">6/20/23</t>
  </si>
  <si>
    <t xml:space="preserve">6th Jul 2023</t>
  </si>
  <si>
    <t xml:space="preserve">Xarelto 20mg</t>
  </si>
  <si>
    <t xml:space="preserve">III</t>
  </si>
  <si>
    <t xml:space="preserve">17mm</t>
  </si>
  <si>
    <t xml:space="preserve">0h25</t>
  </si>
  <si>
    <t xml:space="preserve">2023-08-05</t>
  </si>
  <si>
    <t xml:space="preserve">WEB59</t>
  </si>
  <si>
    <t xml:space="preserve">SDH-055</t>
  </si>
  <si>
    <t xml:space="preserve">Anne Porter</t>
  </si>
  <si>
    <t xml:space="preserve">1934-10-21</t>
  </si>
  <si>
    <t xml:space="preserve">0170/2346633</t>
  </si>
  <si>
    <t xml:space="preserve">22/06/2023</t>
  </si>
  <si>
    <t xml:space="preserve">11mm</t>
  </si>
  <si>
    <t xml:space="preserve">2h14</t>
  </si>
  <si>
    <t xml:space="preserve">POR34</t>
  </si>
  <si>
    <t xml:space="preserve">SDH-063</t>
  </si>
  <si>
    <t xml:space="preserve">b. palmer</t>
  </si>
  <si>
    <t xml:space="preserve">7/11/23</t>
  </si>
  <si>
    <t xml:space="preserve">8 days</t>
  </si>
  <si>
    <t xml:space="preserve">ASS</t>
  </si>
  <si>
    <t xml:space="preserve">53 min</t>
  </si>
  <si>
    <t xml:space="preserve">2023-07-26</t>
  </si>
  <si>
    <t xml:space="preserve">PAL53</t>
  </si>
  <si>
    <t xml:space="preserve">061</t>
  </si>
  <si>
    <t xml:space="preserve">MRN 4859726</t>
  </si>
  <si>
    <t xml:space="preserve">PETROV, James</t>
  </si>
  <si>
    <t xml:space="preserve">165-455 7383 (daughter)</t>
  </si>
  <si>
    <t xml:space="preserve">rivaroxaban</t>
  </si>
  <si>
    <t xml:space="preserve">PET42</t>
  </si>
  <si>
    <t xml:space="preserve">Peter Lang</t>
  </si>
  <si>
    <t xml:space="preserve">+49 177 6801392</t>
  </si>
  <si>
    <t xml:space="preserve">1,2</t>
  </si>
  <si>
    <t xml:space="preserve">wound infection -&gt; revision 14.02.2024</t>
  </si>
  <si>
    <t xml:space="preserve">x</t>
  </si>
  <si>
    <t xml:space="preserve">SDH-064</t>
  </si>
  <si>
    <t xml:space="preserve">Hans Hayes</t>
  </si>
  <si>
    <t xml:space="preserve">+49 169 4286405</t>
  </si>
  <si>
    <t xml:space="preserve">05/09/2023</t>
  </si>
  <si>
    <t xml:space="preserve">&gt;5</t>
  </si>
  <si>
    <t xml:space="preserve">HAY50</t>
  </si>
  <si>
    <t xml:space="preserve">SDH-003</t>
  </si>
  <si>
    <t xml:space="preserve">Robert Webb</t>
  </si>
  <si>
    <t xml:space="preserve">Male</t>
  </si>
  <si>
    <t xml:space="preserve">0156/5226822</t>
  </si>
  <si>
    <t xml:space="preserve">6th Oct 2023</t>
  </si>
  <si>
    <t xml:space="preserve">125k</t>
  </si>
  <si>
    <t xml:space="preserve">19mm</t>
  </si>
  <si>
    <t xml:space="preserve">0h50</t>
  </si>
  <si>
    <t xml:space="preserve">WEB29</t>
  </si>
  <si>
    <t xml:space="preserve">031</t>
  </si>
  <si>
    <t xml:space="preserve">MRN 4137922</t>
  </si>
  <si>
    <t xml:space="preserve">DOYLE, Leon</t>
  </si>
  <si>
    <t xml:space="preserve">+49 156 1142377</t>
  </si>
  <si>
    <t xml:space="preserve">2023-10-02</t>
  </si>
  <si>
    <t xml:space="preserve">92 min</t>
  </si>
  <si>
    <t xml:space="preserve">DOY41</t>
  </si>
  <si>
    <t xml:space="preserve">SDH-026</t>
  </si>
  <si>
    <t xml:space="preserve">CARTER, Viktor</t>
  </si>
  <si>
    <t xml:space="preserve">+49 164 8407846</t>
  </si>
  <si>
    <t xml:space="preserve">1h58</t>
  </si>
  <si>
    <t xml:space="preserve">CAR52</t>
  </si>
  <si>
    <t xml:space="preserve">v. carter</t>
  </si>
  <si>
    <t xml:space="preserve">+49 168 7659609</t>
  </si>
  <si>
    <t xml:space="preserve">07/10/2023</t>
  </si>
  <si>
    <t xml:space="preserve">2024-04-24</t>
  </si>
  <si>
    <t xml:space="preserve">SDH-052</t>
  </si>
  <si>
    <t xml:space="preserve">BYRNE, Peter</t>
  </si>
  <si>
    <t xml:space="preserve">10/23/23</t>
  </si>
  <si>
    <t xml:space="preserve">108k</t>
  </si>
  <si>
    <t xml:space="preserve">1h56</t>
  </si>
  <si>
    <t xml:space="preserve">0?</t>
  </si>
  <si>
    <t xml:space="preserve">BYR45</t>
  </si>
  <si>
    <t xml:space="preserve">SDH-051</t>
  </si>
  <si>
    <t xml:space="preserve">Ruth Bishop</t>
  </si>
  <si>
    <t xml:space="preserve">7th Nov 2023</t>
  </si>
  <si>
    <t xml:space="preserve">25/11/2023</t>
  </si>
  <si>
    <t xml:space="preserve">18 days</t>
  </si>
  <si>
    <t xml:space="preserve">BIS59</t>
  </si>
  <si>
    <t xml:space="preserve">SDH-066</t>
  </si>
  <si>
    <t xml:space="preserve">Robert Carter</t>
  </si>
  <si>
    <t xml:space="preserve">02/08/1928</t>
  </si>
  <si>
    <t xml:space="preserve">CAR28</t>
  </si>
  <si>
    <t xml:space="preserve">SDH-016</t>
  </si>
  <si>
    <t xml:space="preserve">MRN 4703029</t>
  </si>
  <si>
    <t xml:space="preserve">SATO, Margaret</t>
  </si>
  <si>
    <t xml:space="preserve">8th Dec 2023</t>
  </si>
  <si>
    <t xml:space="preserve">SAT42</t>
  </si>
  <si>
    <t xml:space="preserve">SDH-011</t>
  </si>
  <si>
    <t xml:space="preserve">GRANT, Hans</t>
  </si>
  <si>
    <t xml:space="preserve">11th May 1959</t>
  </si>
  <si>
    <t xml:space="preserve">12/15/23</t>
  </si>
  <si>
    <t xml:space="preserve">10mm</t>
  </si>
  <si>
    <t xml:space="preserve">1h47</t>
  </si>
  <si>
    <t xml:space="preserve">GRA59</t>
  </si>
  <si>
    <t xml:space="preserve">068</t>
  </si>
  <si>
    <t xml:space="preserve">Henry Lund</t>
  </si>
  <si>
    <t xml:space="preserve">4/4/52</t>
  </si>
  <si>
    <t xml:space="preserve">0176/9333026</t>
  </si>
  <si>
    <t xml:space="preserve">22/12/2023</t>
  </si>
  <si>
    <t xml:space="preserve">bilateral</t>
  </si>
  <si>
    <t xml:space="preserve">LUN52</t>
  </si>
  <si>
    <t xml:space="preserve">SDH-022</t>
  </si>
  <si>
    <t xml:space="preserve">Dorothy Carter</t>
  </si>
  <si>
    <t xml:space="preserve">173-385 9255 (daughter)</t>
  </si>
  <si>
    <t xml:space="preserve">27mm</t>
  </si>
  <si>
    <t xml:space="preserve">107 min</t>
  </si>
  <si>
    <t xml:space="preserve">CAR58</t>
  </si>
  <si>
    <t xml:space="preserve">SDH-038</t>
  </si>
  <si>
    <t xml:space="preserve">REED, Michael</t>
  </si>
  <si>
    <t xml:space="preserve">1930-07-23</t>
  </si>
  <si>
    <t xml:space="preserve">+49 178 2164426</t>
  </si>
  <si>
    <t xml:space="preserve">1h12</t>
  </si>
  <si>
    <t xml:space="preserve">REE30</t>
  </si>
  <si>
    <t xml:space="preserve">sdh 75</t>
  </si>
  <si>
    <t xml:space="preserve">Carol Sato</t>
  </si>
  <si>
    <t xml:space="preserve">+49 153 8194852</t>
  </si>
  <si>
    <t xml:space="preserve">10th Feb 2024</t>
  </si>
  <si>
    <t xml:space="preserve">22mm</t>
  </si>
  <si>
    <t xml:space="preserve">SAT54</t>
  </si>
  <si>
    <t xml:space="preserve">SDH-071</t>
  </si>
  <si>
    <t xml:space="preserve">g. sato</t>
  </si>
  <si>
    <t xml:space="preserve">SAT28</t>
  </si>
  <si>
    <t xml:space="preserve">SDH-019</t>
  </si>
  <si>
    <t xml:space="preserve">p. carter</t>
  </si>
  <si>
    <t xml:space="preserve">1964-09-12</t>
  </si>
  <si>
    <t xml:space="preserve">171-953 6837 (daughter)</t>
  </si>
  <si>
    <t xml:space="preserve">288k</t>
  </si>
  <si>
    <t xml:space="preserve">CAR64</t>
  </si>
  <si>
    <t xml:space="preserve">SDH-008</t>
  </si>
  <si>
    <t xml:space="preserve">Michael Porter</t>
  </si>
  <si>
    <t xml:space="preserve">17/11/1958</t>
  </si>
  <si>
    <t xml:space="preserve">65y</t>
  </si>
  <si>
    <t xml:space="preserve">+49 164 8740457</t>
  </si>
  <si>
    <t xml:space="preserve">2/29/24</t>
  </si>
  <si>
    <t xml:space="preserve">15 days</t>
  </si>
  <si>
    <t xml:space="preserve">1?</t>
  </si>
  <si>
    <t xml:space="preserve">POR58</t>
  </si>
  <si>
    <t xml:space="preserve">SDH-044</t>
  </si>
  <si>
    <t xml:space="preserve">g. lang</t>
  </si>
  <si>
    <t xml:space="preserve">0176/4621130</t>
  </si>
  <si>
    <t xml:space="preserve">MRN 4331238</t>
  </si>
  <si>
    <t xml:space="preserve">David Doyle</t>
  </si>
  <si>
    <t xml:space="preserve">6/20/30</t>
  </si>
  <si>
    <t xml:space="preserve">163-504 2811 (daughter)</t>
  </si>
  <si>
    <t xml:space="preserve">3/30/24</t>
  </si>
  <si>
    <t xml:space="preserve">DOY30</t>
  </si>
  <si>
    <t xml:space="preserve">SDH-047</t>
  </si>
  <si>
    <t xml:space="preserve">w. walsh</t>
  </si>
  <si>
    <t xml:space="preserve">08/06/1928</t>
  </si>
  <si>
    <t xml:space="preserve">0h32</t>
  </si>
  <si>
    <t xml:space="preserve">WAL28</t>
  </si>
  <si>
    <t xml:space="preserve">SDH-033</t>
  </si>
  <si>
    <t xml:space="preserve">BISHOP, Michael</t>
  </si>
  <si>
    <t xml:space="preserve">0172/4688897</t>
  </si>
  <si>
    <t xml:space="preserve">BIS54</t>
  </si>
  <si>
    <t xml:space="preserve">SDH-007</t>
  </si>
  <si>
    <t xml:space="preserve">ORTEGA, Leon</t>
  </si>
  <si>
    <t xml:space="preserve">0162/8063671</t>
  </si>
  <si>
    <t xml:space="preserve">16th May 2024</t>
  </si>
  <si>
    <t xml:space="preserve">1,6</t>
  </si>
  <si>
    <t xml:space="preserve">26mm</t>
  </si>
  <si>
    <t xml:space="preserve">craniotomy</t>
  </si>
  <si>
    <t xml:space="preserve">ORT52</t>
  </si>
  <si>
    <t xml:space="preserve">021</t>
  </si>
  <si>
    <t xml:space="preserve">Susan Byrne</t>
  </si>
  <si>
    <t xml:space="preserve">+49 156 4056233</t>
  </si>
  <si>
    <t xml:space="preserve">2024-05-23</t>
  </si>
  <si>
    <t xml:space="preserve">IV</t>
  </si>
  <si>
    <t xml:space="preserve">20mm</t>
  </si>
  <si>
    <t xml:space="preserve">BYR64</t>
  </si>
  <si>
    <t xml:space="preserve">SDH-015</t>
  </si>
  <si>
    <t xml:space="preserve">David Ortega</t>
  </si>
  <si>
    <t xml:space="preserve">09/02/1965</t>
  </si>
  <si>
    <t xml:space="preserve">+49 175 1628256</t>
  </si>
  <si>
    <t xml:space="preserve">70 min</t>
  </si>
  <si>
    <t xml:space="preserve">ORT65</t>
  </si>
  <si>
    <t xml:space="preserve">SDH-074</t>
  </si>
  <si>
    <t xml:space="preserve">v. hayes</t>
  </si>
  <si>
    <t xml:space="preserve">1961-06-04</t>
  </si>
  <si>
    <t xml:space="preserve">63y</t>
  </si>
  <si>
    <t xml:space="preserve">L</t>
  </si>
  <si>
    <t xml:space="preserve">2024-05-31</t>
  </si>
  <si>
    <t xml:space="preserve">HAY61</t>
  </si>
  <si>
    <t xml:space="preserve">sdh 29</t>
  </si>
  <si>
    <t xml:space="preserve">91706</t>
  </si>
  <si>
    <t xml:space="preserve">MOR57</t>
  </si>
  <si>
    <t xml:space="preserve">SDH-076</t>
  </si>
  <si>
    <t xml:space="preserve">MRN 4829135</t>
  </si>
  <si>
    <t xml:space="preserve">FOSTER, Henry</t>
  </si>
  <si>
    <t xml:space="preserve">08/08/1931</t>
  </si>
  <si>
    <t xml:space="preserve">1h31</t>
  </si>
  <si>
    <t xml:space="preserve">FOS31</t>
  </si>
  <si>
    <t xml:space="preserve">SDH-054</t>
  </si>
  <si>
    <t xml:space="preserve">g. lund</t>
  </si>
  <si>
    <t xml:space="preserve">0178/3436535</t>
  </si>
  <si>
    <t xml:space="preserve">7/17/24</t>
  </si>
  <si>
    <t xml:space="preserve">12 days</t>
  </si>
  <si>
    <t xml:space="preserve">38 min</t>
  </si>
  <si>
    <t xml:space="preserve">LUN45</t>
  </si>
  <si>
    <t xml:space="preserve">SDH-006</t>
  </si>
  <si>
    <t xml:space="preserve">MRN 4736305</t>
  </si>
  <si>
    <t xml:space="preserve">Rosa Bishop</t>
  </si>
  <si>
    <t xml:space="preserve">11/04/1962</t>
  </si>
  <si>
    <t xml:space="preserve">160-591 8049 (daughter)</t>
  </si>
  <si>
    <t xml:space="preserve">MRN 4234603</t>
  </si>
  <si>
    <t xml:space="preserve">DOYLE, Greta</t>
  </si>
  <si>
    <t xml:space="preserve">174-599 8422 (daughter)</t>
  </si>
  <si>
    <t xml:space="preserve">DOY33</t>
  </si>
  <si>
    <t xml:space="preserve">SDH-036</t>
  </si>
  <si>
    <t xml:space="preserve">NOVAK, Henry</t>
  </si>
  <si>
    <t xml:space="preserve">61673</t>
  </si>
  <si>
    <t xml:space="preserve">363k</t>
  </si>
  <si>
    <t xml:space="preserve">32mm</t>
  </si>
  <si>
    <t xml:space="preserve">twist drill</t>
  </si>
  <si>
    <t xml:space="preserve">0h44</t>
  </si>
  <si>
    <t xml:space="preserve">NOV52</t>
  </si>
  <si>
    <t xml:space="preserve">079</t>
  </si>
  <si>
    <t xml:space="preserve">BISHOP, Rosa</t>
  </si>
  <si>
    <t xml:space="preserve">15797</t>
  </si>
  <si>
    <t xml:space="preserve">+49 154 3183028</t>
  </si>
  <si>
    <t xml:space="preserve">9/11/24</t>
  </si>
  <si>
    <t xml:space="preserve">18mm</t>
  </si>
  <si>
    <t xml:space="preserve">09/09/2024</t>
  </si>
  <si>
    <t xml:space="preserve">128 min</t>
  </si>
  <si>
    <t xml:space="preserve">SDH-001</t>
  </si>
  <si>
    <t xml:space="preserve">BROOKS, Walter</t>
  </si>
  <si>
    <t xml:space="preserve">85y</t>
  </si>
  <si>
    <t xml:space="preserve">2024-10-05</t>
  </si>
  <si>
    <t xml:space="preserve">52 min</t>
  </si>
  <si>
    <t xml:space="preserve">BRO39</t>
  </si>
  <si>
    <t xml:space="preserve">sdh 69</t>
  </si>
  <si>
    <t xml:space="preserve">d. doyle</t>
  </si>
  <si>
    <t xml:space="preserve">11/01/1957</t>
  </si>
  <si>
    <t xml:space="preserve">2024-10-08</t>
  </si>
  <si>
    <t xml:space="preserve">2024-10-23</t>
  </si>
  <si>
    <t xml:space="preserve">157k</t>
  </si>
  <si>
    <t xml:space="preserve">21/11/2024</t>
  </si>
  <si>
    <t xml:space="preserve">DOY57</t>
  </si>
  <si>
    <t xml:space="preserve">Susan Novak</t>
  </si>
  <si>
    <t xml:space="preserve">171-674 9439 (daughter)</t>
  </si>
  <si>
    <t xml:space="preserve">SDH-024</t>
  </si>
  <si>
    <t xml:space="preserve">LANG, Henry</t>
  </si>
  <si>
    <t xml:space="preserve">2,7</t>
  </si>
  <si>
    <t xml:space="preserve">LAN41</t>
  </si>
  <si>
    <t xml:space="preserve">sdh 37</t>
  </si>
  <si>
    <t xml:space="preserve">p. porter</t>
  </si>
  <si>
    <t xml:space="preserve">31mm</t>
  </si>
  <si>
    <t xml:space="preserve">POR39</t>
  </si>
  <si>
    <t xml:space="preserve">SDH-045</t>
  </si>
  <si>
    <t xml:space="preserve">WALSH, Rosa</t>
  </si>
  <si>
    <t xml:space="preserve">14776</t>
  </si>
  <si>
    <t xml:space="preserve">1,1</t>
  </si>
  <si>
    <t xml:space="preserve">154k</t>
  </si>
  <si>
    <t xml:space="preserve">14/12/2024</t>
  </si>
  <si>
    <t xml:space="preserve">1h52</t>
  </si>
  <si>
    <t xml:space="preserve">WAL37</t>
  </si>
  <si>
    <t xml:space="preserve">SDH-039</t>
  </si>
  <si>
    <t xml:space="preserve">WALSH, Arthur</t>
  </si>
  <si>
    <t xml:space="preserve">107k</t>
  </si>
  <si>
    <t xml:space="preserve">9mm</t>
  </si>
  <si>
    <t xml:space="preserve">2h18</t>
  </si>
  <si>
    <t xml:space="preserve">3rd Mar 2025</t>
  </si>
  <si>
    <t xml:space="preserve">WAL46</t>
  </si>
  <si>
    <t xml:space="preserve">SDH-070</t>
  </si>
  <si>
    <t xml:space="preserve">MRN 4071478</t>
  </si>
  <si>
    <t xml:space="preserve">07/01/2025</t>
  </si>
  <si>
    <t xml:space="preserve">MIL31</t>
  </si>
  <si>
    <t xml:space="preserve">SDH-010</t>
  </si>
  <si>
    <t xml:space="preserve">KOVACS, Arthur</t>
  </si>
  <si>
    <t xml:space="preserve">11th Apr 1947</t>
  </si>
  <si>
    <t xml:space="preserve">0159/5999189</t>
  </si>
  <si>
    <t xml:space="preserve">1/28/25</t>
  </si>
  <si>
    <t xml:space="preserve">KOV47</t>
  </si>
  <si>
    <t xml:space="preserve">SDH-080</t>
  </si>
  <si>
    <t xml:space="preserve">159-546 5986 (daughter)</t>
  </si>
  <si>
    <t xml:space="preserve">2025-01-27</t>
  </si>
  <si>
    <t xml:space="preserve">89 min</t>
  </si>
  <si>
    <t xml:space="preserve">George Bishop</t>
  </si>
  <si>
    <t xml:space="preserve">+49 170 1806020</t>
  </si>
  <si>
    <t xml:space="preserve">06/02/2025</t>
  </si>
  <si>
    <t xml:space="preserve">36 min</t>
  </si>
  <si>
    <t xml:space="preserve">BIS48</t>
  </si>
  <si>
    <t xml:space="preserve">SDH-056</t>
  </si>
  <si>
    <t xml:space="preserve">WALSH, Susan</t>
  </si>
  <si>
    <t xml:space="preserve">+49 159 7686282</t>
  </si>
  <si>
    <t xml:space="preserve">2/6/25</t>
  </si>
  <si>
    <t xml:space="preserve">68 min</t>
  </si>
  <si>
    <t xml:space="preserve">WAL60</t>
  </si>
  <si>
    <t xml:space="preserve">sdh 23</t>
  </si>
  <si>
    <t xml:space="preserve">PORTER, Margaret</t>
  </si>
  <si>
    <t xml:space="preserve">174-255 1926 (daughter)</t>
  </si>
  <si>
    <t xml:space="preserve">2025-02-07</t>
  </si>
  <si>
    <t xml:space="preserve">POR40</t>
  </si>
  <si>
    <t xml:space="preserve">SDH-018</t>
  </si>
  <si>
    <t xml:space="preserve">MRN 4234466</t>
  </si>
  <si>
    <t xml:space="preserve">i. sato</t>
  </si>
  <si>
    <t xml:space="preserve">18/10/1951</t>
  </si>
  <si>
    <t xml:space="preserve">0165/9515375</t>
  </si>
  <si>
    <t xml:space="preserve">17/02/2025</t>
  </si>
  <si>
    <t xml:space="preserve">SAT51</t>
  </si>
  <si>
    <t xml:space="preserve">SDH-058</t>
  </si>
  <si>
    <t xml:space="preserve">PETROV, Frank</t>
  </si>
  <si>
    <t xml:space="preserve">21/07/1960</t>
  </si>
  <si>
    <t xml:space="preserve">2025-02-22</t>
  </si>
  <si>
    <t xml:space="preserve">1,4</t>
  </si>
  <si>
    <t xml:space="preserve">140k</t>
  </si>
  <si>
    <t xml:space="preserve">1h50</t>
  </si>
  <si>
    <t xml:space="preserve">SDH-078</t>
  </si>
  <si>
    <t xml:space="preserve">PALMER, Elena</t>
  </si>
  <si>
    <t xml:space="preserve">22nd Jun 1946</t>
  </si>
  <si>
    <t xml:space="preserve">78y</t>
  </si>
  <si>
    <t xml:space="preserve">39664</t>
  </si>
  <si>
    <t xml:space="preserve">397k</t>
  </si>
  <si>
    <t xml:space="preserve">PAL46</t>
  </si>
  <si>
    <t xml:space="preserve">SDH-073</t>
  </si>
  <si>
    <t xml:space="preserve">BROOKS, Viktor</t>
  </si>
  <si>
    <t xml:space="preserve">74y</t>
  </si>
  <si>
    <t xml:space="preserve">+49 173 2084218</t>
  </si>
  <si>
    <t xml:space="preserve">04/03/2025</t>
  </si>
  <si>
    <t xml:space="preserve">BRO50</t>
  </si>
  <si>
    <t xml:space="preserve">014</t>
  </si>
  <si>
    <t xml:space="preserve">r. webb</t>
  </si>
  <si>
    <t xml:space="preserve">03/01/1950</t>
  </si>
  <si>
    <t xml:space="preserve">56020</t>
  </si>
  <si>
    <t xml:space="preserve">0172/9356266</t>
  </si>
  <si>
    <t xml:space="preserve">WEB50</t>
  </si>
  <si>
    <t xml:space="preserve">SDH-009</t>
  </si>
  <si>
    <t xml:space="preserve">PALMER, Anne</t>
  </si>
  <si>
    <t xml:space="preserve">0154/7811619</t>
  </si>
  <si>
    <t xml:space="preserve">PAL45</t>
  </si>
  <si>
    <t xml:space="preserve">SDH-040</t>
  </si>
  <si>
    <t xml:space="preserve">REED, Robert</t>
  </si>
  <si>
    <t xml:space="preserve">66y</t>
  </si>
  <si>
    <t xml:space="preserve">178-295 5654 (daughter)</t>
  </si>
  <si>
    <t xml:space="preserve">20/04/2025</t>
  </si>
  <si>
    <t xml:space="preserve">23/04/2025</t>
  </si>
  <si>
    <t xml:space="preserve">14 (E3V4M6)</t>
  </si>
  <si>
    <t xml:space="preserve">REE59</t>
  </si>
  <si>
    <t xml:space="preserve">SDH-053</t>
  </si>
  <si>
    <t xml:space="preserve">w. brooks</t>
  </si>
  <si>
    <t xml:space="preserve">BRO58</t>
  </si>
  <si>
    <t xml:space="preserve">SDH-072</t>
  </si>
  <si>
    <t xml:space="preserve">GRANT, Michael</t>
  </si>
  <si>
    <t xml:space="preserve">0158/1798871</t>
  </si>
  <si>
    <t xml:space="preserve">I</t>
  </si>
  <si>
    <t xml:space="preserve">GRA41</t>
  </si>
  <si>
    <t xml:space="preserve">SDH-034</t>
  </si>
  <si>
    <t xml:space="preserve">LUND, Leon</t>
  </si>
  <si>
    <t xml:space="preserve">177-616 5549 (daughter)</t>
  </si>
  <si>
    <t xml:space="preserve">05/06/2025</t>
  </si>
  <si>
    <t xml:space="preserve">06/06/2025</t>
  </si>
  <si>
    <t xml:space="preserve">2h19</t>
  </si>
  <si>
    <t xml:space="preserve">2025-06-26</t>
  </si>
  <si>
    <t xml:space="preserve">LUN41</t>
  </si>
  <si>
    <t xml:space="preserve">TOTAL</t>
  </si>
  <si>
    <t xml:space="preserve">1 = burr hole, 2 = craniotomy, 3 = twist drill</t>
  </si>
  <si>
    <t xml:space="preserve">0-4</t>
  </si>
  <si>
    <t xml:space="preserve">mRS</t>
  </si>
  <si>
    <t xml:space="preserve">0-6</t>
  </si>
  <si>
    <t xml:space="preserve">yellow</t>
  </si>
  <si>
    <t xml:space="preserve">check</t>
  </si>
  <si>
    <t xml:space="preserve">Y/N</t>
  </si>
  <si>
    <t xml:space="preserve">hypo / iso / hyper / mixed</t>
  </si>
  <si>
    <t xml:space="preserve">(orange + red: ask Tom)</t>
  </si>
  <si>
    <t xml:space="preserve">Call date</t>
  </si>
  <si>
    <t xml:space="preserve">Reached?</t>
  </si>
  <si>
    <t xml:space="preserve">Comment</t>
  </si>
  <si>
    <t xml:space="preserve">by</t>
  </si>
  <si>
    <t xml:space="preserve">Bishop R.</t>
  </si>
  <si>
    <t xml:space="preserve">call back</t>
  </si>
  <si>
    <t xml:space="preserve">Tom</t>
  </si>
  <si>
    <t xml:space="preserve">06/02/2024</t>
  </si>
  <si>
    <t xml:space="preserve">tk</t>
  </si>
  <si>
    <t xml:space="preserve">Ortega</t>
  </si>
  <si>
    <t xml:space="preserve">TK</t>
  </si>
  <si>
    <t xml:space="preserve">Ortega L.</t>
  </si>
  <si>
    <t xml:space="preserve">8/26/24</t>
  </si>
  <si>
    <t xml:space="preserve">readmitted?</t>
  </si>
  <si>
    <t xml:space="preserve">wrong number</t>
  </si>
  <si>
    <t xml:space="preserve">PETROV</t>
  </si>
  <si>
    <t xml:space="preserve">Petrov</t>
  </si>
  <si>
    <t xml:space="preserve">15/05/2025</t>
  </si>
  <si>
    <t xml:space="preserve">Walsh W.</t>
  </si>
  <si>
    <t xml:space="preserve">Walsh</t>
  </si>
  <si>
    <t xml:space="preserve">2024-08-06</t>
  </si>
  <si>
    <t xml:space="preserve">Miller</t>
  </si>
  <si>
    <t xml:space="preserve">fine, walking with cane</t>
  </si>
  <si>
    <t xml:space="preserve">9/12/23</t>
  </si>
  <si>
    <t xml:space="preserve">Miller S.</t>
  </si>
  <si>
    <t xml:space="preserve">27/08/2023</t>
  </si>
  <si>
    <t xml:space="preserve">daughter answered</t>
  </si>
  <si>
    <t xml:space="preserve">Hayes M.</t>
  </si>
  <si>
    <t xml:space="preserve">HAYES</t>
  </si>
  <si>
    <t xml:space="preserve">24/06/2023</t>
  </si>
  <si>
    <t xml:space="preserve">voicemail</t>
  </si>
  <si>
    <t xml:space="preserve">L.M.</t>
  </si>
  <si>
    <t xml:space="preserve">NOVAK</t>
  </si>
  <si>
    <t xml:space="preserve">Novak</t>
  </si>
  <si>
    <t xml:space="preserve">Carter R.</t>
  </si>
  <si>
    <t xml:space="preserve">CARTER</t>
  </si>
  <si>
    <t xml:space="preserve">12/02/2024</t>
  </si>
  <si>
    <t xml:space="preserve">WEISS</t>
  </si>
  <si>
    <t xml:space="preserve">25/08/2023</t>
  </si>
  <si>
    <t xml:space="preserve">DOYLE</t>
  </si>
  <si>
    <t xml:space="preserve">6/25/24</t>
  </si>
  <si>
    <t xml:space="preserve">Novak H.</t>
  </si>
  <si>
    <t xml:space="preserve">Palmer B.</t>
  </si>
  <si>
    <t xml:space="preserve">PORTER</t>
  </si>
  <si>
    <t xml:space="preserve">Porter</t>
  </si>
  <si>
    <t xml:space="preserve">WEBB</t>
  </si>
  <si>
    <t xml:space="preserve">5/21/25</t>
  </si>
  <si>
    <t xml:space="preserve">2025-04-22</t>
  </si>
  <si>
    <t xml:space="preserve">MILLER</t>
  </si>
  <si>
    <t xml:space="preserve">25/04/2025</t>
  </si>
  <si>
    <t xml:space="preserve">Weiss M.</t>
  </si>
  <si>
    <t xml:space="preserve">03/05/2023</t>
  </si>
  <si>
    <t xml:space="preserve">7th May 2023</t>
  </si>
  <si>
    <t xml:space="preserve">PALMER</t>
  </si>
  <si>
    <t xml:space="preserve">2nd Jun 2025</t>
  </si>
  <si>
    <t xml:space="preserve">Sato C.</t>
  </si>
  <si>
    <t xml:space="preserve">Sato</t>
  </si>
  <si>
    <t xml:space="preserve">2024-04-22</t>
  </si>
  <si>
    <t xml:space="preserve">21/05/2024</t>
  </si>
  <si>
    <t xml:space="preserve">Hayes</t>
  </si>
  <si>
    <t xml:space="preserve">Weiss</t>
  </si>
  <si>
    <t xml:space="preserve">Weiss D.</t>
  </si>
  <si>
    <t xml:space="preserve">ID</t>
  </si>
  <si>
    <t xml:space="preserve">name</t>
  </si>
  <si>
    <t xml:space="preserve">birth</t>
  </si>
  <si>
    <t xml:space="preserve">adm date</t>
  </si>
  <si>
    <t xml:space="preserve">op</t>
  </si>
  <si>
    <t xml:space="preserve">outcome</t>
  </si>
  <si>
    <t xml:space="preserve">S1</t>
  </si>
  <si>
    <t xml:space="preserve">Brooks Walter</t>
  </si>
  <si>
    <t xml:space="preserve">good</t>
  </si>
  <si>
    <t xml:space="preserve">S2</t>
  </si>
  <si>
    <t xml:space="preserve">Novak Susan</t>
  </si>
  <si>
    <t xml:space="preserve">S3</t>
  </si>
  <si>
    <t xml:space="preserve">Webb Robert</t>
  </si>
  <si>
    <t xml:space="preserve">S4</t>
  </si>
  <si>
    <t xml:space="preserve">Bishop George</t>
  </si>
  <si>
    <t xml:space="preserve">S5</t>
  </si>
  <si>
    <t xml:space="preserve">Novak Elena</t>
  </si>
  <si>
    <t xml:space="preserve">bad</t>
  </si>
  <si>
    <t xml:space="preserve">S6</t>
  </si>
  <si>
    <t xml:space="preserve">Bishop Rosa</t>
  </si>
  <si>
    <t xml:space="preserve">S7</t>
  </si>
  <si>
    <t xml:space="preserve">Ortega Leon</t>
  </si>
  <si>
    <t xml:space="preserve">S8</t>
  </si>
  <si>
    <t xml:space="preserve">Porter Michael</t>
  </si>
  <si>
    <t xml:space="preserve">S9</t>
  </si>
  <si>
    <t xml:space="preserve">Palmer Anne</t>
  </si>
  <si>
    <t xml:space="preserve">S10</t>
  </si>
  <si>
    <t xml:space="preserve">Kovacs Arthur</t>
  </si>
  <si>
    <t xml:space="preserve">S11</t>
  </si>
  <si>
    <t xml:space="preserve">Grant Hans</t>
  </si>
  <si>
    <t xml:space="preserve">S12</t>
  </si>
  <si>
    <t xml:space="preserve">Doyle David</t>
  </si>
  <si>
    <t xml:space="preserve">S13</t>
  </si>
  <si>
    <t xml:space="preserve">Walsh James</t>
  </si>
  <si>
    <t xml:space="preserve">S14</t>
  </si>
  <si>
    <t xml:space="preserve">Webb Ruth</t>
  </si>
  <si>
    <t xml:space="preserve">S15</t>
  </si>
  <si>
    <t xml:space="preserve">Ortega David</t>
  </si>
  <si>
    <t xml:space="preserve">S16</t>
  </si>
  <si>
    <t xml:space="preserve">Sato Margaret</t>
  </si>
  <si>
    <t xml:space="preserve">S17</t>
  </si>
  <si>
    <t xml:space="preserve">Petrov Hans</t>
  </si>
  <si>
    <t xml:space="preserve">S18</t>
  </si>
  <si>
    <t xml:space="preserve">Sato Ingrid</t>
  </si>
  <si>
    <t xml:space="preserve">S19</t>
  </si>
  <si>
    <t xml:space="preserve">Carter Paul</t>
  </si>
  <si>
    <t xml:space="preserve">S20</t>
  </si>
  <si>
    <t xml:space="preserve">Bishop Dorothy</t>
  </si>
  <si>
    <t xml:space="preserve">S21</t>
  </si>
  <si>
    <t xml:space="preserve">Byrne Susan</t>
  </si>
  <si>
    <t xml:space="preserve">S22</t>
  </si>
  <si>
    <t xml:space="preserve">Carter Dorothy</t>
  </si>
  <si>
    <t xml:space="preserve">S23</t>
  </si>
  <si>
    <t xml:space="preserve">Porter Margaret</t>
  </si>
  <si>
    <t xml:space="preserve">S24</t>
  </si>
  <si>
    <t xml:space="preserve">Lang Henry</t>
  </si>
  <si>
    <t xml:space="preserve">S25</t>
  </si>
  <si>
    <t xml:space="preserve">Doyle Greta</t>
  </si>
  <si>
    <t xml:space="preserve">S26</t>
  </si>
  <si>
    <t xml:space="preserve">Carter Viktor</t>
  </si>
  <si>
    <t xml:space="preserve">S27</t>
  </si>
  <si>
    <t xml:space="preserve">Hughes Carol</t>
  </si>
  <si>
    <t xml:space="preserve">S28</t>
  </si>
  <si>
    <t xml:space="preserve">Reed Frank</t>
  </si>
  <si>
    <t xml:space="preserve">S29</t>
  </si>
  <si>
    <t xml:space="preserve">Moreau Anne</t>
  </si>
  <si>
    <t xml:space="preserve">S30</t>
  </si>
  <si>
    <t xml:space="preserve">Weiss Mary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</si>
</sst>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trike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rgb="FFFF9999"/>
        <bgColor rgb="FFFF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1" min="1" style="1" width="13"/>
    <col collapsed="false" customWidth="true" hidden="true" outlineLevel="0" max="42" min="42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 t="s">
        <v>2</v>
      </c>
      <c r="K2" s="3"/>
      <c r="L2" s="3"/>
      <c r="M2" s="3" t="s">
        <v>3</v>
      </c>
      <c r="N2" s="3"/>
      <c r="O2" s="3"/>
      <c r="P2" s="3"/>
      <c r="Q2" s="3"/>
      <c r="R2" s="3"/>
      <c r="S2" s="3"/>
      <c r="T2" s="3"/>
      <c r="U2" s="3"/>
      <c r="V2" s="3"/>
      <c r="W2" s="3" t="s">
        <v>4</v>
      </c>
      <c r="X2" s="3"/>
      <c r="Y2" s="3"/>
      <c r="Z2" s="3"/>
      <c r="AA2" s="3"/>
      <c r="AB2" s="3"/>
      <c r="AC2" s="3" t="s">
        <v>5</v>
      </c>
      <c r="AD2" s="3"/>
      <c r="AE2" s="3"/>
      <c r="AF2" s="3"/>
      <c r="AG2" s="3"/>
      <c r="AH2" s="3"/>
      <c r="AI2" s="3"/>
      <c r="AJ2" s="3"/>
      <c r="AK2" s="3"/>
      <c r="AL2" s="3"/>
      <c r="AM2" s="4"/>
      <c r="AN2" s="4"/>
      <c r="AO2" s="4"/>
      <c r="AP2" s="4"/>
    </row>
    <row r="3" customFormat="false" ht="15" hidden="false" customHeight="tru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4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  <c r="AE3" s="4" t="s">
        <v>35</v>
      </c>
      <c r="AF3" s="4" t="s">
        <v>36</v>
      </c>
      <c r="AG3" s="4" t="s">
        <v>37</v>
      </c>
      <c r="AH3" s="4" t="s">
        <v>38</v>
      </c>
      <c r="AI3" s="4" t="s">
        <v>39</v>
      </c>
      <c r="AJ3" s="4" t="s">
        <v>40</v>
      </c>
      <c r="AK3" s="4" t="s">
        <v>41</v>
      </c>
      <c r="AL3" s="4" t="s">
        <v>42</v>
      </c>
      <c r="AM3" s="4"/>
      <c r="AN3" s="4" t="s">
        <v>43</v>
      </c>
      <c r="AO3" s="4" t="s">
        <v>44</v>
      </c>
      <c r="AP3" s="4" t="s">
        <v>45</v>
      </c>
    </row>
    <row r="4" customFormat="false" ht="15" hidden="false" customHeight="true" outlineLevel="0" collapsed="false">
      <c r="A4" s="5" t="n">
        <v>1</v>
      </c>
      <c r="B4" s="5" t="s">
        <v>46</v>
      </c>
      <c r="C4" s="5" t="n">
        <v>4142934</v>
      </c>
      <c r="D4" s="5" t="s">
        <v>47</v>
      </c>
      <c r="E4" s="6" t="n">
        <v>15651</v>
      </c>
      <c r="F4" s="5" t="n">
        <v>80</v>
      </c>
      <c r="G4" s="5" t="s">
        <v>48</v>
      </c>
      <c r="H4" s="5" t="n">
        <v>31657</v>
      </c>
      <c r="I4" s="5"/>
      <c r="J4" s="5" t="s">
        <v>49</v>
      </c>
      <c r="K4" s="6" t="n">
        <v>44941</v>
      </c>
      <c r="L4" s="5" t="n">
        <v>8</v>
      </c>
      <c r="M4" s="5" t="s">
        <v>50</v>
      </c>
      <c r="N4" s="5" t="s">
        <v>51</v>
      </c>
      <c r="O4" s="5" t="n">
        <v>1.3</v>
      </c>
      <c r="P4" s="5" t="n">
        <v>260</v>
      </c>
      <c r="Q4" s="5" t="n">
        <v>13</v>
      </c>
      <c r="R4" s="5" t="s">
        <v>52</v>
      </c>
      <c r="S4" s="5" t="s">
        <v>53</v>
      </c>
      <c r="T4" s="5" t="n">
        <v>9</v>
      </c>
      <c r="U4" s="5" t="s">
        <v>54</v>
      </c>
      <c r="V4" s="5" t="s">
        <v>55</v>
      </c>
      <c r="W4" s="5" t="s">
        <v>56</v>
      </c>
      <c r="X4" s="6" t="n">
        <v>44935</v>
      </c>
      <c r="Y4" s="5" t="s">
        <v>57</v>
      </c>
      <c r="Z4" s="5" t="n">
        <v>1</v>
      </c>
      <c r="AA4" s="5" t="s">
        <v>58</v>
      </c>
      <c r="AB4" s="5"/>
      <c r="AC4" s="5" t="s">
        <v>50</v>
      </c>
      <c r="AD4" s="5" t="s">
        <v>59</v>
      </c>
      <c r="AE4" s="6" t="n">
        <v>44988</v>
      </c>
      <c r="AF4" s="5" t="n">
        <v>2</v>
      </c>
      <c r="AG4" s="5" t="n">
        <v>2</v>
      </c>
      <c r="AH4" s="5"/>
      <c r="AI4" s="5" t="s">
        <v>60</v>
      </c>
      <c r="AJ4" s="5"/>
      <c r="AK4" s="5"/>
      <c r="AL4" s="5" t="s">
        <v>61</v>
      </c>
      <c r="AM4" s="5" t="s">
        <v>62</v>
      </c>
      <c r="AN4" s="5"/>
      <c r="AO4" s="5"/>
      <c r="AP4" s="5" t="s">
        <v>63</v>
      </c>
    </row>
    <row r="5" customFormat="false" ht="15" hidden="false" customHeight="true" outlineLevel="0" collapsed="false">
      <c r="A5" s="7" t="n">
        <v>2</v>
      </c>
      <c r="B5" s="7" t="s">
        <v>64</v>
      </c>
      <c r="C5" s="7" t="n">
        <v>4457225</v>
      </c>
      <c r="D5" s="7" t="s">
        <v>65</v>
      </c>
      <c r="E5" s="7" t="s">
        <v>66</v>
      </c>
      <c r="F5" s="7" t="n">
        <v>212</v>
      </c>
      <c r="G5" s="7" t="s">
        <v>67</v>
      </c>
      <c r="H5" s="7" t="s">
        <v>68</v>
      </c>
      <c r="I5" s="7" t="s">
        <v>69</v>
      </c>
      <c r="J5" s="8" t="n">
        <v>44937</v>
      </c>
      <c r="K5" s="8" t="n">
        <v>44946</v>
      </c>
      <c r="L5" s="9" t="n">
        <f aca="false">K5-J5</f>
        <v>9</v>
      </c>
      <c r="M5" s="7" t="s">
        <v>70</v>
      </c>
      <c r="N5" s="7" t="s">
        <v>71</v>
      </c>
      <c r="O5" s="7" t="n">
        <v>1.3</v>
      </c>
      <c r="P5" s="7" t="s">
        <v>72</v>
      </c>
      <c r="Q5" s="7" t="n">
        <v>12</v>
      </c>
      <c r="R5" s="7" t="n">
        <v>4</v>
      </c>
      <c r="S5" s="7" t="s">
        <v>73</v>
      </c>
      <c r="T5" s="7" t="n">
        <v>29</v>
      </c>
      <c r="U5" s="7" t="n">
        <v>10</v>
      </c>
      <c r="V5" s="7" t="s">
        <v>74</v>
      </c>
      <c r="W5" s="7" t="s">
        <v>56</v>
      </c>
      <c r="X5" s="8" t="n">
        <v>44938</v>
      </c>
      <c r="Y5" s="7" t="n">
        <v>1</v>
      </c>
      <c r="Z5" s="7" t="n">
        <v>2</v>
      </c>
      <c r="AA5" s="7" t="s">
        <v>75</v>
      </c>
      <c r="AB5" s="7" t="s">
        <v>76</v>
      </c>
      <c r="AC5" s="7" t="s">
        <v>77</v>
      </c>
      <c r="AD5" s="7" t="s">
        <v>78</v>
      </c>
      <c r="AE5" s="7"/>
      <c r="AF5" s="7" t="n">
        <v>3</v>
      </c>
      <c r="AG5" s="7" t="n">
        <v>3</v>
      </c>
      <c r="AH5" s="7" t="n">
        <v>3</v>
      </c>
      <c r="AI5" s="7" t="s">
        <v>79</v>
      </c>
      <c r="AJ5" s="7" t="s">
        <v>80</v>
      </c>
      <c r="AK5" s="8" t="n">
        <v>44992</v>
      </c>
      <c r="AL5" s="7"/>
      <c r="AM5" s="5" t="s">
        <v>62</v>
      </c>
      <c r="AN5" s="5"/>
      <c r="AO5" s="5"/>
      <c r="AP5" s="5" t="s">
        <v>81</v>
      </c>
    </row>
    <row r="6" customFormat="false" ht="15" hidden="false" customHeight="true" outlineLevel="0" collapsed="false">
      <c r="A6" s="5" t="n">
        <v>3</v>
      </c>
      <c r="B6" s="5" t="s">
        <v>82</v>
      </c>
      <c r="C6" s="5" t="n">
        <v>4020526</v>
      </c>
      <c r="D6" s="5" t="s">
        <v>83</v>
      </c>
      <c r="E6" s="6" t="n">
        <v>22843</v>
      </c>
      <c r="F6" s="5" t="n">
        <v>60</v>
      </c>
      <c r="G6" s="5" t="s">
        <v>84</v>
      </c>
      <c r="H6" s="5" t="n">
        <v>21909</v>
      </c>
      <c r="I6" s="5"/>
      <c r="J6" s="5" t="s">
        <v>85</v>
      </c>
      <c r="K6" s="5" t="s">
        <v>86</v>
      </c>
      <c r="L6" s="5" t="s">
        <v>87</v>
      </c>
      <c r="M6" s="5" t="s">
        <v>87</v>
      </c>
      <c r="N6" s="5" t="s">
        <v>88</v>
      </c>
      <c r="O6" s="5" t="n">
        <v>1.5</v>
      </c>
      <c r="P6" s="5" t="s">
        <v>89</v>
      </c>
      <c r="Q6" s="5" t="n">
        <v>14</v>
      </c>
      <c r="R6" s="5" t="s">
        <v>90</v>
      </c>
      <c r="S6" s="5" t="s">
        <v>91</v>
      </c>
      <c r="T6" s="5" t="n">
        <v>12</v>
      </c>
      <c r="U6" s="5" t="n">
        <v>15</v>
      </c>
      <c r="V6" s="5" t="s">
        <v>55</v>
      </c>
      <c r="W6" s="5" t="n">
        <v>1</v>
      </c>
      <c r="X6" s="5" t="s">
        <v>92</v>
      </c>
      <c r="Y6" s="5" t="s">
        <v>60</v>
      </c>
      <c r="Z6" s="5" t="n">
        <v>1</v>
      </c>
      <c r="AA6" s="5" t="n">
        <v>0.53</v>
      </c>
      <c r="AB6" s="5" t="s">
        <v>54</v>
      </c>
      <c r="AC6" s="5" t="s">
        <v>80</v>
      </c>
      <c r="AD6" s="5" t="s">
        <v>78</v>
      </c>
      <c r="AE6" s="5"/>
      <c r="AF6" s="5" t="s">
        <v>93</v>
      </c>
      <c r="AG6" s="5" t="n">
        <v>3</v>
      </c>
      <c r="AH6" s="5" t="s">
        <v>94</v>
      </c>
      <c r="AI6" s="5"/>
      <c r="AJ6" s="5" t="s">
        <v>77</v>
      </c>
      <c r="AK6" s="5"/>
      <c r="AL6" s="5"/>
      <c r="AM6" s="5"/>
      <c r="AN6" s="5"/>
      <c r="AO6" s="5"/>
      <c r="AP6" s="5" t="s">
        <v>95</v>
      </c>
    </row>
    <row r="7" customFormat="false" ht="15" hidden="false" customHeight="true" outlineLevel="0" collapsed="false">
      <c r="A7" s="10" t="n">
        <v>4</v>
      </c>
      <c r="B7" s="10" t="s">
        <v>96</v>
      </c>
      <c r="C7" s="10" t="n">
        <v>4889562</v>
      </c>
      <c r="D7" s="10" t="s">
        <v>97</v>
      </c>
      <c r="E7" s="11" t="n">
        <v>17720</v>
      </c>
      <c r="F7" s="10" t="n">
        <f aca="false">INT((J7-E7)/365.25)</f>
        <v>74</v>
      </c>
      <c r="G7" s="10" t="s">
        <v>48</v>
      </c>
      <c r="H7" s="10" t="n">
        <v>65970</v>
      </c>
      <c r="I7" s="10"/>
      <c r="J7" s="11" t="n">
        <v>44944</v>
      </c>
      <c r="K7" s="11" t="n">
        <v>44952</v>
      </c>
      <c r="L7" s="12" t="n">
        <f aca="false">K7-J7</f>
        <v>8</v>
      </c>
      <c r="M7" s="10" t="s">
        <v>98</v>
      </c>
      <c r="N7" s="10" t="s">
        <v>51</v>
      </c>
      <c r="O7" s="10" t="s">
        <v>99</v>
      </c>
      <c r="P7" s="10" t="s">
        <v>72</v>
      </c>
      <c r="Q7" s="10" t="n">
        <v>17</v>
      </c>
      <c r="R7" s="10" t="s">
        <v>52</v>
      </c>
      <c r="S7" s="10" t="s">
        <v>100</v>
      </c>
      <c r="T7" s="10" t="n">
        <v>3</v>
      </c>
      <c r="U7" s="10" t="n">
        <v>0</v>
      </c>
      <c r="V7" s="10" t="s">
        <v>101</v>
      </c>
      <c r="W7" s="10" t="s">
        <v>102</v>
      </c>
      <c r="X7" s="10" t="s">
        <v>103</v>
      </c>
      <c r="Y7" s="10" t="s">
        <v>60</v>
      </c>
      <c r="Z7" s="10" t="n">
        <v>3</v>
      </c>
      <c r="AA7" s="10" t="s">
        <v>75</v>
      </c>
      <c r="AB7" s="10" t="s">
        <v>104</v>
      </c>
      <c r="AC7" s="10" t="s">
        <v>105</v>
      </c>
      <c r="AD7" s="10" t="s">
        <v>77</v>
      </c>
      <c r="AE7" s="10"/>
      <c r="AF7" s="10" t="n">
        <v>0</v>
      </c>
      <c r="AG7" s="10" t="n">
        <v>0</v>
      </c>
      <c r="AH7" s="10"/>
      <c r="AI7" s="10" t="s">
        <v>60</v>
      </c>
      <c r="AJ7" s="10" t="s">
        <v>106</v>
      </c>
      <c r="AK7" s="10"/>
      <c r="AL7" s="10" t="s">
        <v>107</v>
      </c>
      <c r="AM7" s="5"/>
      <c r="AN7" s="5"/>
      <c r="AO7" s="5"/>
      <c r="AP7" s="5" t="s">
        <v>108</v>
      </c>
    </row>
    <row r="8" customFormat="false" ht="15" hidden="false" customHeight="true" outlineLevel="0" collapsed="false">
      <c r="A8" s="5" t="n">
        <v>5</v>
      </c>
      <c r="B8" s="5" t="s">
        <v>109</v>
      </c>
      <c r="C8" s="5" t="n">
        <v>4411489</v>
      </c>
      <c r="D8" s="5" t="s">
        <v>110</v>
      </c>
      <c r="E8" s="6" t="n">
        <v>18205</v>
      </c>
      <c r="F8" s="5" t="n">
        <v>73</v>
      </c>
      <c r="G8" s="5" t="s">
        <v>67</v>
      </c>
      <c r="H8" s="5" t="s">
        <v>111</v>
      </c>
      <c r="I8" s="5" t="s">
        <v>112</v>
      </c>
      <c r="J8" s="5" t="n">
        <v>44947</v>
      </c>
      <c r="K8" s="6" t="n">
        <v>44949</v>
      </c>
      <c r="L8" s="5" t="s">
        <v>87</v>
      </c>
      <c r="M8" s="5" t="s">
        <v>113</v>
      </c>
      <c r="N8" s="5" t="s">
        <v>114</v>
      </c>
      <c r="O8" s="5" t="n">
        <v>1.3</v>
      </c>
      <c r="P8" s="5" t="s">
        <v>72</v>
      </c>
      <c r="Q8" s="5" t="n">
        <v>12</v>
      </c>
      <c r="R8" s="5" t="n">
        <v>3</v>
      </c>
      <c r="S8" s="5" t="s">
        <v>115</v>
      </c>
      <c r="T8" s="5" t="n">
        <v>32</v>
      </c>
      <c r="U8" s="5" t="n">
        <v>3</v>
      </c>
      <c r="V8" s="5" t="s">
        <v>116</v>
      </c>
      <c r="W8" s="5" t="s">
        <v>56</v>
      </c>
      <c r="X8" s="6" t="n">
        <v>44947</v>
      </c>
      <c r="Y8" s="5" t="n">
        <v>1</v>
      </c>
      <c r="Z8" s="5" t="s">
        <v>90</v>
      </c>
      <c r="AA8" s="5" t="s">
        <v>117</v>
      </c>
      <c r="AB8" s="5" t="s">
        <v>118</v>
      </c>
      <c r="AC8" s="5" t="s">
        <v>105</v>
      </c>
      <c r="AD8" s="5" t="s">
        <v>106</v>
      </c>
      <c r="AE8" s="5"/>
      <c r="AF8" s="5" t="s">
        <v>119</v>
      </c>
      <c r="AG8" s="5" t="n">
        <v>4</v>
      </c>
      <c r="AH8" s="5"/>
      <c r="AI8" s="5" t="s">
        <v>60</v>
      </c>
      <c r="AJ8" s="5" t="s">
        <v>77</v>
      </c>
      <c r="AK8" s="5"/>
      <c r="AL8" s="5" t="s">
        <v>120</v>
      </c>
      <c r="AM8" s="5"/>
      <c r="AN8" s="5" t="s">
        <v>121</v>
      </c>
      <c r="AO8" s="5"/>
      <c r="AP8" s="5" t="s">
        <v>122</v>
      </c>
    </row>
    <row r="9" customFormat="false" ht="15" hidden="false" customHeight="true" outlineLevel="0" collapsed="false">
      <c r="A9" s="5" t="n">
        <v>5</v>
      </c>
      <c r="B9" s="5" t="s">
        <v>123</v>
      </c>
      <c r="C9" s="5" t="n">
        <v>4940538</v>
      </c>
      <c r="D9" s="5" t="s">
        <v>124</v>
      </c>
      <c r="E9" s="5" t="s">
        <v>125</v>
      </c>
      <c r="F9" s="5" t="n">
        <v>60</v>
      </c>
      <c r="G9" s="5" t="s">
        <v>67</v>
      </c>
      <c r="H9" s="5" t="s">
        <v>126</v>
      </c>
      <c r="I9" s="5" t="s">
        <v>127</v>
      </c>
      <c r="J9" s="6" t="n">
        <v>44950</v>
      </c>
      <c r="K9" s="6" t="n">
        <v>44967</v>
      </c>
      <c r="L9" s="13" t="n">
        <f aca="false">K9-J9</f>
        <v>17</v>
      </c>
      <c r="M9" s="5" t="s">
        <v>50</v>
      </c>
      <c r="N9" s="5" t="s">
        <v>128</v>
      </c>
      <c r="O9" s="5" t="n">
        <v>1.3</v>
      </c>
      <c r="P9" s="5" t="s">
        <v>72</v>
      </c>
      <c r="Q9" s="5" t="n">
        <v>14</v>
      </c>
      <c r="R9" s="5" t="n">
        <v>0</v>
      </c>
      <c r="S9" s="5" t="s">
        <v>53</v>
      </c>
      <c r="T9" s="5" t="n">
        <v>2.9</v>
      </c>
      <c r="U9" s="5" t="n">
        <v>8</v>
      </c>
      <c r="V9" s="5" t="s">
        <v>74</v>
      </c>
      <c r="W9" s="5" t="n">
        <v>1</v>
      </c>
      <c r="X9" s="6" t="n">
        <v>44951</v>
      </c>
      <c r="Y9" s="5" t="s">
        <v>60</v>
      </c>
      <c r="Z9" s="5" t="n">
        <v>2</v>
      </c>
      <c r="AA9" s="5" t="s">
        <v>129</v>
      </c>
      <c r="AB9" s="5" t="s">
        <v>71</v>
      </c>
      <c r="AC9" s="5" t="s">
        <v>50</v>
      </c>
      <c r="AD9" s="5" t="s">
        <v>80</v>
      </c>
      <c r="AE9" s="6" t="n">
        <v>45003</v>
      </c>
      <c r="AF9" s="5" t="n">
        <v>2</v>
      </c>
      <c r="AG9" s="5" t="n">
        <v>2</v>
      </c>
      <c r="AH9" s="5" t="s">
        <v>130</v>
      </c>
      <c r="AI9" s="5"/>
      <c r="AJ9" s="5" t="s">
        <v>106</v>
      </c>
      <c r="AK9" s="5"/>
      <c r="AL9" s="5" t="s">
        <v>131</v>
      </c>
      <c r="AM9" s="5"/>
      <c r="AN9" s="5"/>
      <c r="AO9" s="5"/>
      <c r="AP9" s="5" t="s">
        <v>132</v>
      </c>
    </row>
    <row r="10" customFormat="false" ht="15" hidden="false" customHeight="true" outlineLevel="0" collapsed="false">
      <c r="A10" s="5" t="n">
        <v>7</v>
      </c>
      <c r="B10" s="5" t="s">
        <v>133</v>
      </c>
      <c r="C10" s="5" t="n">
        <v>4605132</v>
      </c>
      <c r="D10" s="5" t="s">
        <v>134</v>
      </c>
      <c r="E10" s="5" t="n">
        <v>22593</v>
      </c>
      <c r="F10" s="5" t="s">
        <v>135</v>
      </c>
      <c r="G10" s="5" t="s">
        <v>48</v>
      </c>
      <c r="H10" s="5" t="n">
        <v>43389</v>
      </c>
      <c r="I10" s="5"/>
      <c r="J10" s="5" t="s">
        <v>136</v>
      </c>
      <c r="K10" s="5" t="s">
        <v>137</v>
      </c>
      <c r="L10" s="5" t="s">
        <v>138</v>
      </c>
      <c r="M10" s="5" t="s">
        <v>106</v>
      </c>
      <c r="N10" s="5" t="s">
        <v>114</v>
      </c>
      <c r="O10" s="5" t="n">
        <v>0.9</v>
      </c>
      <c r="P10" s="5" t="s">
        <v>72</v>
      </c>
      <c r="Q10" s="5" t="s">
        <v>139</v>
      </c>
      <c r="R10" s="5" t="s">
        <v>140</v>
      </c>
      <c r="S10" s="5" t="s">
        <v>141</v>
      </c>
      <c r="T10" s="5" t="n">
        <v>22</v>
      </c>
      <c r="U10" s="5" t="n">
        <v>9</v>
      </c>
      <c r="V10" s="5" t="s">
        <v>142</v>
      </c>
      <c r="W10" s="5" t="n">
        <v>4</v>
      </c>
      <c r="X10" s="6" t="n">
        <v>44958</v>
      </c>
      <c r="Y10" s="5" t="s">
        <v>77</v>
      </c>
      <c r="Z10" s="5"/>
      <c r="AA10" s="5" t="n">
        <v>1.25</v>
      </c>
      <c r="AB10" s="5" t="s">
        <v>143</v>
      </c>
      <c r="AC10" s="5" t="s">
        <v>77</v>
      </c>
      <c r="AD10" s="5" t="s">
        <v>77</v>
      </c>
      <c r="AE10" s="5"/>
      <c r="AF10" s="5" t="n">
        <v>1</v>
      </c>
      <c r="AG10" s="5" t="n">
        <v>1</v>
      </c>
      <c r="AH10" s="5"/>
      <c r="AI10" s="5" t="s">
        <v>60</v>
      </c>
      <c r="AJ10" s="5" t="s">
        <v>77</v>
      </c>
      <c r="AK10" s="5"/>
      <c r="AL10" s="5" t="s">
        <v>144</v>
      </c>
      <c r="AM10" s="5"/>
      <c r="AN10" s="5"/>
      <c r="AO10" s="5"/>
      <c r="AP10" s="5" t="s">
        <v>145</v>
      </c>
    </row>
    <row r="11" customFormat="false" ht="15" hidden="false" customHeight="true" outlineLevel="0" collapsed="false">
      <c r="A11" s="14" t="n">
        <v>8</v>
      </c>
      <c r="B11" s="14" t="s">
        <v>146</v>
      </c>
      <c r="C11" s="14" t="n">
        <v>4313123</v>
      </c>
      <c r="D11" s="14" t="s">
        <v>147</v>
      </c>
      <c r="E11" s="15" t="n">
        <v>21625</v>
      </c>
      <c r="F11" s="14" t="n">
        <f aca="false">INT((J11-E11)/365.25)</f>
        <v>63</v>
      </c>
      <c r="G11" s="14" t="s">
        <v>148</v>
      </c>
      <c r="H11" s="14" t="n">
        <v>19087</v>
      </c>
      <c r="I11" s="14"/>
      <c r="J11" s="15" t="n">
        <v>44961</v>
      </c>
      <c r="K11" s="15" t="n">
        <v>44971</v>
      </c>
      <c r="L11" s="16" t="n">
        <f aca="false">K11-J11</f>
        <v>10</v>
      </c>
      <c r="M11" s="14" t="s">
        <v>77</v>
      </c>
      <c r="N11" s="14" t="s">
        <v>114</v>
      </c>
      <c r="O11" s="14" t="n">
        <v>1.4</v>
      </c>
      <c r="P11" s="14" t="s">
        <v>72</v>
      </c>
      <c r="Q11" s="14" t="s">
        <v>149</v>
      </c>
      <c r="R11" s="14" t="s">
        <v>150</v>
      </c>
      <c r="S11" s="14" t="s">
        <v>151</v>
      </c>
      <c r="T11" s="14" t="s">
        <v>152</v>
      </c>
      <c r="U11" s="14" t="n">
        <v>5</v>
      </c>
      <c r="V11" s="14" t="s">
        <v>101</v>
      </c>
      <c r="W11" s="14" t="n">
        <v>2</v>
      </c>
      <c r="X11" s="15" t="n">
        <v>44962</v>
      </c>
      <c r="Y11" s="14" t="s">
        <v>153</v>
      </c>
      <c r="Z11" s="14" t="s">
        <v>90</v>
      </c>
      <c r="AA11" s="14" t="s">
        <v>154</v>
      </c>
      <c r="AB11" s="14" t="s">
        <v>76</v>
      </c>
      <c r="AC11" s="14" t="s">
        <v>106</v>
      </c>
      <c r="AD11" s="14" t="s">
        <v>78</v>
      </c>
      <c r="AE11" s="14"/>
      <c r="AF11" s="14" t="n">
        <v>5</v>
      </c>
      <c r="AG11" s="14" t="n">
        <v>5</v>
      </c>
      <c r="AH11" s="14"/>
      <c r="AI11" s="14"/>
      <c r="AJ11" s="14" t="s">
        <v>77</v>
      </c>
      <c r="AK11" s="14"/>
      <c r="AL11" s="14" t="s">
        <v>144</v>
      </c>
      <c r="AM11" s="5"/>
      <c r="AN11" s="5"/>
      <c r="AO11" s="5"/>
      <c r="AP11" s="5" t="s">
        <v>155</v>
      </c>
    </row>
    <row r="12" customFormat="false" ht="15" hidden="false" customHeight="true" outlineLevel="0" collapsed="false">
      <c r="A12" s="5" t="n">
        <v>9</v>
      </c>
      <c r="B12" s="5" t="s">
        <v>156</v>
      </c>
      <c r="C12" s="5" t="n">
        <v>4026456</v>
      </c>
      <c r="D12" s="5" t="s">
        <v>157</v>
      </c>
      <c r="E12" s="6" t="n">
        <v>21242</v>
      </c>
      <c r="F12" s="5" t="n">
        <f aca="false">INT((J12-E12)/365.25)</f>
        <v>64</v>
      </c>
      <c r="G12" s="5" t="s">
        <v>158</v>
      </c>
      <c r="H12" s="5" t="n">
        <v>29862</v>
      </c>
      <c r="I12" s="5"/>
      <c r="J12" s="6" t="n">
        <v>44969</v>
      </c>
      <c r="K12" s="6" t="n">
        <v>44987</v>
      </c>
      <c r="L12" s="13" t="n">
        <f aca="false">K12-J12</f>
        <v>18</v>
      </c>
      <c r="M12" s="5" t="s">
        <v>98</v>
      </c>
      <c r="N12" s="5" t="s">
        <v>71</v>
      </c>
      <c r="O12" s="5" t="n">
        <v>1.5</v>
      </c>
      <c r="P12" s="5" t="s">
        <v>72</v>
      </c>
      <c r="Q12" s="5" t="s">
        <v>139</v>
      </c>
      <c r="R12" s="5" t="s">
        <v>159</v>
      </c>
      <c r="S12" s="5" t="s">
        <v>115</v>
      </c>
      <c r="T12" s="5" t="n">
        <v>28</v>
      </c>
      <c r="U12" s="5" t="n">
        <v>11</v>
      </c>
      <c r="V12" s="5" t="s">
        <v>74</v>
      </c>
      <c r="W12" s="5" t="n">
        <v>4</v>
      </c>
      <c r="X12" s="6" t="n">
        <v>44970</v>
      </c>
      <c r="Y12" s="5" t="s">
        <v>105</v>
      </c>
      <c r="Z12" s="5"/>
      <c r="AA12" s="5" t="n">
        <v>140</v>
      </c>
      <c r="AB12" s="5" t="s">
        <v>104</v>
      </c>
      <c r="AC12" s="5"/>
      <c r="AD12" s="5" t="s">
        <v>77</v>
      </c>
      <c r="AE12" s="5"/>
      <c r="AF12" s="5" t="n">
        <v>4</v>
      </c>
      <c r="AG12" s="5" t="n">
        <v>4</v>
      </c>
      <c r="AH12" s="5"/>
      <c r="AI12" s="5" t="s">
        <v>60</v>
      </c>
      <c r="AJ12" s="5" t="s">
        <v>106</v>
      </c>
      <c r="AK12" s="5"/>
      <c r="AL12" s="5" t="s">
        <v>120</v>
      </c>
      <c r="AM12" s="5"/>
      <c r="AN12" s="5"/>
      <c r="AO12" s="5"/>
      <c r="AP12" s="5" t="s">
        <v>160</v>
      </c>
    </row>
    <row r="13" customFormat="false" ht="15" hidden="false" customHeight="true" outlineLevel="0" collapsed="false">
      <c r="A13" s="5" t="n">
        <v>10</v>
      </c>
      <c r="B13" s="5" t="s">
        <v>161</v>
      </c>
      <c r="C13" s="5" t="s">
        <v>162</v>
      </c>
      <c r="D13" s="5" t="s">
        <v>163</v>
      </c>
      <c r="E13" s="6" t="n">
        <v>11172</v>
      </c>
      <c r="F13" s="5" t="n">
        <f aca="false">INT((J13-E13)/365.25)</f>
        <v>92</v>
      </c>
      <c r="G13" s="5" t="s">
        <v>67</v>
      </c>
      <c r="H13" s="5" t="n">
        <v>86692</v>
      </c>
      <c r="I13" s="5" t="s">
        <v>164</v>
      </c>
      <c r="J13" s="6" t="n">
        <v>44987</v>
      </c>
      <c r="K13" s="6" t="n">
        <v>44989</v>
      </c>
      <c r="L13" s="13" t="n">
        <f aca="false">K13-J13</f>
        <v>2</v>
      </c>
      <c r="M13" s="5" t="s">
        <v>98</v>
      </c>
      <c r="N13" s="5" t="s">
        <v>165</v>
      </c>
      <c r="O13" s="5" t="s">
        <v>166</v>
      </c>
      <c r="P13" s="5" t="s">
        <v>167</v>
      </c>
      <c r="Q13" s="5" t="n">
        <v>13</v>
      </c>
      <c r="R13" s="5" t="n">
        <v>1</v>
      </c>
      <c r="S13" s="5" t="s">
        <v>168</v>
      </c>
      <c r="T13" s="5" t="n">
        <v>1.1</v>
      </c>
      <c r="U13" s="5" t="n">
        <v>9</v>
      </c>
      <c r="V13" s="5" t="s">
        <v>169</v>
      </c>
      <c r="W13" s="5" t="n">
        <v>2</v>
      </c>
      <c r="X13" s="6" t="n">
        <v>44990</v>
      </c>
      <c r="Y13" s="5" t="s">
        <v>170</v>
      </c>
      <c r="Z13" s="5"/>
      <c r="AA13" s="5" t="n">
        <v>0.6</v>
      </c>
      <c r="AB13" s="5" t="s">
        <v>76</v>
      </c>
      <c r="AC13" s="5"/>
      <c r="AD13" s="5" t="s">
        <v>106</v>
      </c>
      <c r="AE13" s="5"/>
      <c r="AF13" s="5" t="s">
        <v>171</v>
      </c>
      <c r="AG13" s="5" t="n">
        <v>2</v>
      </c>
      <c r="AH13" s="5"/>
      <c r="AI13" s="5" t="s">
        <v>79</v>
      </c>
      <c r="AJ13" s="5" t="s">
        <v>106</v>
      </c>
      <c r="AK13" s="5"/>
      <c r="AL13" s="5" t="s">
        <v>172</v>
      </c>
      <c r="AM13" s="5" t="s">
        <v>62</v>
      </c>
      <c r="AN13" s="5"/>
      <c r="AO13" s="5"/>
      <c r="AP13" s="5" t="s">
        <v>173</v>
      </c>
    </row>
    <row r="14" customFormat="false" ht="15" hidden="false" customHeight="true" outlineLevel="0" collapsed="false">
      <c r="A14" s="5" t="n">
        <v>11</v>
      </c>
      <c r="B14" s="5" t="s">
        <v>174</v>
      </c>
      <c r="C14" s="5" t="n">
        <v>4027218</v>
      </c>
      <c r="D14" s="5" t="s">
        <v>175</v>
      </c>
      <c r="E14" s="6" t="n">
        <v>15779</v>
      </c>
      <c r="F14" s="5" t="s">
        <v>176</v>
      </c>
      <c r="G14" s="5" t="s">
        <v>67</v>
      </c>
      <c r="H14" s="5" t="n">
        <v>52719</v>
      </c>
      <c r="I14" s="5"/>
      <c r="J14" s="5" t="n">
        <v>44993</v>
      </c>
      <c r="K14" s="6" t="n">
        <v>45010</v>
      </c>
      <c r="L14" s="5" t="n">
        <v>17</v>
      </c>
      <c r="M14" s="5" t="s">
        <v>70</v>
      </c>
      <c r="N14" s="5" t="s">
        <v>177</v>
      </c>
      <c r="O14" s="5" t="n">
        <v>1.2</v>
      </c>
      <c r="P14" s="5" t="n">
        <v>305</v>
      </c>
      <c r="Q14" s="5" t="n">
        <v>15</v>
      </c>
      <c r="R14" s="5" t="s">
        <v>150</v>
      </c>
      <c r="S14" s="5" t="s">
        <v>73</v>
      </c>
      <c r="T14" s="5" t="s">
        <v>178</v>
      </c>
      <c r="U14" s="5" t="n">
        <v>14</v>
      </c>
      <c r="V14" s="5" t="s">
        <v>101</v>
      </c>
      <c r="W14" s="5" t="n">
        <v>3</v>
      </c>
      <c r="X14" s="5" t="s">
        <v>179</v>
      </c>
      <c r="Y14" s="5" t="n">
        <v>0</v>
      </c>
      <c r="Z14" s="5"/>
      <c r="AA14" s="5" t="n">
        <v>47</v>
      </c>
      <c r="AB14" s="5" t="s">
        <v>54</v>
      </c>
      <c r="AC14" s="5" t="s">
        <v>105</v>
      </c>
      <c r="AD14" s="5" t="s">
        <v>77</v>
      </c>
      <c r="AE14" s="5"/>
      <c r="AF14" s="5" t="n">
        <v>3</v>
      </c>
      <c r="AG14" s="5" t="n">
        <v>3</v>
      </c>
      <c r="AH14" s="5"/>
      <c r="AI14" s="5" t="s">
        <v>79</v>
      </c>
      <c r="AJ14" s="5"/>
      <c r="AK14" s="5"/>
      <c r="AL14" s="5" t="s">
        <v>120</v>
      </c>
      <c r="AM14" s="5"/>
      <c r="AN14" s="5"/>
      <c r="AO14" s="5"/>
      <c r="AP14" s="5" t="s">
        <v>180</v>
      </c>
    </row>
    <row r="15" customFormat="false" ht="15" hidden="false" customHeight="true" outlineLevel="0" collapsed="false">
      <c r="A15" s="5" t="n">
        <v>12</v>
      </c>
      <c r="B15" s="5" t="s">
        <v>181</v>
      </c>
      <c r="C15" s="5" t="n">
        <v>4049011</v>
      </c>
      <c r="D15" s="5" t="s">
        <v>182</v>
      </c>
      <c r="E15" s="6" t="n">
        <v>22633</v>
      </c>
      <c r="F15" s="5" t="n">
        <f aca="false">INT((J15-E15)/365.25)</f>
        <v>61</v>
      </c>
      <c r="G15" s="5" t="s">
        <v>183</v>
      </c>
      <c r="H15" s="5" t="n">
        <v>49527</v>
      </c>
      <c r="I15" s="5"/>
      <c r="J15" s="6" t="n">
        <v>45004</v>
      </c>
      <c r="K15" s="6" t="n">
        <v>45016</v>
      </c>
      <c r="L15" s="13" t="n">
        <f aca="false">K15-J15</f>
        <v>12</v>
      </c>
      <c r="M15" s="5" t="s">
        <v>87</v>
      </c>
      <c r="N15" s="5" t="s">
        <v>184</v>
      </c>
      <c r="O15" s="5" t="s">
        <v>185</v>
      </c>
      <c r="P15" s="5" t="s">
        <v>186</v>
      </c>
      <c r="Q15" s="5" t="n">
        <v>13</v>
      </c>
      <c r="R15" s="5" t="n">
        <v>2</v>
      </c>
      <c r="S15" s="5" t="s">
        <v>187</v>
      </c>
      <c r="T15" s="5" t="n">
        <v>31</v>
      </c>
      <c r="U15" s="5" t="n">
        <v>15</v>
      </c>
      <c r="V15" s="5" t="s">
        <v>101</v>
      </c>
      <c r="W15" s="5" t="s">
        <v>56</v>
      </c>
      <c r="X15" s="6" t="n">
        <v>45004</v>
      </c>
      <c r="Y15" s="5" t="s">
        <v>57</v>
      </c>
      <c r="Z15" s="5" t="s">
        <v>90</v>
      </c>
      <c r="AA15" s="5" t="n">
        <v>2.22</v>
      </c>
      <c r="AB15" s="5" t="s">
        <v>188</v>
      </c>
      <c r="AC15" s="5" t="s">
        <v>105</v>
      </c>
      <c r="AD15" s="5"/>
      <c r="AE15" s="5"/>
      <c r="AF15" s="5" t="n">
        <v>3</v>
      </c>
      <c r="AG15" s="5" t="n">
        <v>4</v>
      </c>
      <c r="AH15" s="5" t="s">
        <v>94</v>
      </c>
      <c r="AI15" s="5" t="s">
        <v>60</v>
      </c>
      <c r="AJ15" s="5"/>
      <c r="AK15" s="5"/>
      <c r="AL15" s="5" t="s">
        <v>107</v>
      </c>
      <c r="AM15" s="5"/>
      <c r="AN15" s="5"/>
      <c r="AO15" s="5"/>
      <c r="AP15" s="5" t="s">
        <v>145</v>
      </c>
    </row>
    <row r="16" customFormat="false" ht="15" hidden="false" customHeight="true" outlineLevel="0" collapsed="false">
      <c r="A16" s="5" t="n">
        <v>13</v>
      </c>
      <c r="B16" s="5" t="s">
        <v>189</v>
      </c>
      <c r="C16" s="5" t="n">
        <v>4125590</v>
      </c>
      <c r="D16" s="5" t="s">
        <v>190</v>
      </c>
      <c r="E16" s="6" t="n">
        <v>23157</v>
      </c>
      <c r="F16" s="5" t="n">
        <f aca="false">INT((J16-E16)/365.25)</f>
        <v>59</v>
      </c>
      <c r="G16" s="5" t="s">
        <v>148</v>
      </c>
      <c r="H16" s="5" t="n">
        <v>71442</v>
      </c>
      <c r="I16" s="5" t="s">
        <v>191</v>
      </c>
      <c r="J16" s="6" t="n">
        <v>45011</v>
      </c>
      <c r="K16" s="6" t="n">
        <v>45026</v>
      </c>
      <c r="L16" s="13" t="n">
        <f aca="false">K16-J16</f>
        <v>15</v>
      </c>
      <c r="M16" s="5" t="s">
        <v>77</v>
      </c>
      <c r="N16" s="5" t="s">
        <v>192</v>
      </c>
      <c r="O16" s="5" t="s">
        <v>193</v>
      </c>
      <c r="P16" s="5" t="n">
        <v>292</v>
      </c>
      <c r="Q16" s="5" t="n">
        <v>13</v>
      </c>
      <c r="R16" s="5" t="s">
        <v>90</v>
      </c>
      <c r="S16" s="5" t="s">
        <v>115</v>
      </c>
      <c r="T16" s="5" t="n">
        <v>0.9</v>
      </c>
      <c r="U16" s="5" t="n">
        <v>11</v>
      </c>
      <c r="V16" s="5" t="s">
        <v>194</v>
      </c>
      <c r="W16" s="5" t="n">
        <v>4</v>
      </c>
      <c r="X16" s="6" t="n">
        <v>45012</v>
      </c>
      <c r="Y16" s="5" t="s">
        <v>57</v>
      </c>
      <c r="Z16" s="5" t="s">
        <v>195</v>
      </c>
      <c r="AA16" s="5" t="s">
        <v>196</v>
      </c>
      <c r="AB16" s="5" t="s">
        <v>71</v>
      </c>
      <c r="AC16" s="5" t="s">
        <v>106</v>
      </c>
      <c r="AD16" s="5" t="s">
        <v>106</v>
      </c>
      <c r="AE16" s="5"/>
      <c r="AF16" s="5" t="n">
        <v>2</v>
      </c>
      <c r="AG16" s="5" t="n">
        <v>2</v>
      </c>
      <c r="AH16" s="5" t="n">
        <v>1</v>
      </c>
      <c r="AI16" s="5" t="s">
        <v>60</v>
      </c>
      <c r="AJ16" s="5" t="s">
        <v>77</v>
      </c>
      <c r="AK16" s="5"/>
      <c r="AL16" s="5" t="s">
        <v>197</v>
      </c>
      <c r="AM16" s="5"/>
      <c r="AN16" s="5"/>
      <c r="AO16" s="5"/>
      <c r="AP16" s="5" t="s">
        <v>198</v>
      </c>
    </row>
    <row r="17" customFormat="false" ht="15" hidden="false" customHeight="true" outlineLevel="0" collapsed="false">
      <c r="A17" s="7" t="n">
        <v>14</v>
      </c>
      <c r="B17" s="7" t="s">
        <v>199</v>
      </c>
      <c r="C17" s="7" t="n">
        <v>4607180</v>
      </c>
      <c r="D17" s="7" t="s">
        <v>200</v>
      </c>
      <c r="E17" s="8" t="n">
        <v>12668</v>
      </c>
      <c r="F17" s="7" t="n">
        <f aca="false">INT((J17-E17)/365.25)</f>
        <v>88</v>
      </c>
      <c r="G17" s="7" t="s">
        <v>48</v>
      </c>
      <c r="H17" s="7" t="n">
        <v>34925</v>
      </c>
      <c r="I17" s="7"/>
      <c r="J17" s="8" t="n">
        <v>45012</v>
      </c>
      <c r="K17" s="8" t="n">
        <v>45015</v>
      </c>
      <c r="L17" s="9" t="n">
        <f aca="false">K17-J17</f>
        <v>3</v>
      </c>
      <c r="M17" s="7" t="s">
        <v>70</v>
      </c>
      <c r="N17" s="7" t="s">
        <v>184</v>
      </c>
      <c r="O17" s="7" t="s">
        <v>201</v>
      </c>
      <c r="P17" s="7" t="s">
        <v>72</v>
      </c>
      <c r="Q17" s="7" t="n">
        <v>15</v>
      </c>
      <c r="R17" s="7" t="n">
        <v>3</v>
      </c>
      <c r="S17" s="7" t="s">
        <v>202</v>
      </c>
      <c r="T17" s="7" t="n">
        <v>1.7</v>
      </c>
      <c r="U17" s="7" t="n">
        <v>8</v>
      </c>
      <c r="V17" s="7" t="s">
        <v>142</v>
      </c>
      <c r="W17" s="7" t="n">
        <v>1</v>
      </c>
      <c r="X17" s="7" t="s">
        <v>203</v>
      </c>
      <c r="Y17" s="7" t="s">
        <v>153</v>
      </c>
      <c r="Z17" s="7" t="s">
        <v>204</v>
      </c>
      <c r="AA17" s="7" t="n">
        <v>1.37</v>
      </c>
      <c r="AB17" s="7" t="s">
        <v>205</v>
      </c>
      <c r="AC17" s="7" t="s">
        <v>77</v>
      </c>
      <c r="AD17" s="7" t="s">
        <v>106</v>
      </c>
      <c r="AE17" s="7"/>
      <c r="AF17" s="7" t="s">
        <v>93</v>
      </c>
      <c r="AG17" s="7" t="n">
        <v>3</v>
      </c>
      <c r="AH17" s="7"/>
      <c r="AI17" s="7" t="s">
        <v>60</v>
      </c>
      <c r="AJ17" s="7"/>
      <c r="AK17" s="7"/>
      <c r="AL17" s="7" t="s">
        <v>120</v>
      </c>
      <c r="AM17" s="5"/>
      <c r="AN17" s="5"/>
      <c r="AO17" s="5"/>
      <c r="AP17" s="5" t="s">
        <v>206</v>
      </c>
    </row>
    <row r="18" customFormat="false" ht="15" hidden="false" customHeight="true" outlineLevel="0" collapsed="false">
      <c r="A18" s="5" t="n">
        <v>15</v>
      </c>
      <c r="B18" s="5" t="s">
        <v>207</v>
      </c>
      <c r="C18" s="5" t="n">
        <v>4986834</v>
      </c>
      <c r="D18" s="5" t="s">
        <v>208</v>
      </c>
      <c r="E18" s="6" t="n">
        <v>21921</v>
      </c>
      <c r="F18" s="5" t="n">
        <f aca="false">INT((J18-E18)/365.25)</f>
        <v>63</v>
      </c>
      <c r="G18" s="5" t="s">
        <v>48</v>
      </c>
      <c r="H18" s="5" t="n">
        <v>35714</v>
      </c>
      <c r="I18" s="5" t="s">
        <v>209</v>
      </c>
      <c r="J18" s="6" t="n">
        <v>45023</v>
      </c>
      <c r="K18" s="5" t="s">
        <v>210</v>
      </c>
      <c r="L18" s="5" t="s">
        <v>138</v>
      </c>
      <c r="M18" s="5" t="s">
        <v>113</v>
      </c>
      <c r="N18" s="5" t="s">
        <v>54</v>
      </c>
      <c r="O18" s="5" t="n">
        <v>1.3</v>
      </c>
      <c r="P18" s="5" t="s">
        <v>72</v>
      </c>
      <c r="Q18" s="5" t="n">
        <v>8</v>
      </c>
      <c r="R18" s="5" t="n">
        <v>4</v>
      </c>
      <c r="S18" s="5" t="s">
        <v>141</v>
      </c>
      <c r="T18" s="5" t="n">
        <v>1.5</v>
      </c>
      <c r="U18" s="5" t="n">
        <v>7</v>
      </c>
      <c r="V18" s="5" t="s">
        <v>169</v>
      </c>
      <c r="W18" s="5" t="n">
        <v>4</v>
      </c>
      <c r="X18" s="6" t="n">
        <v>45023</v>
      </c>
      <c r="Y18" s="5" t="s">
        <v>57</v>
      </c>
      <c r="Z18" s="5" t="n">
        <v>1</v>
      </c>
      <c r="AA18" s="5" t="s">
        <v>211</v>
      </c>
      <c r="AB18" s="5" t="s">
        <v>54</v>
      </c>
      <c r="AC18" s="5" t="s">
        <v>105</v>
      </c>
      <c r="AD18" s="5" t="s">
        <v>106</v>
      </c>
      <c r="AE18" s="5"/>
      <c r="AF18" s="5" t="n">
        <v>1</v>
      </c>
      <c r="AG18" s="5" t="n">
        <v>1</v>
      </c>
      <c r="AH18" s="5"/>
      <c r="AI18" s="5"/>
      <c r="AJ18" s="5" t="s">
        <v>77</v>
      </c>
      <c r="AK18" s="5"/>
      <c r="AL18" s="5"/>
      <c r="AM18" s="5"/>
      <c r="AN18" s="5"/>
      <c r="AO18" s="5"/>
      <c r="AP18" s="5" t="s">
        <v>212</v>
      </c>
    </row>
    <row r="19" customFormat="false" ht="15" hidden="false" customHeight="true" outlineLevel="0" collapsed="false">
      <c r="A19" s="5" t="n">
        <v>16</v>
      </c>
      <c r="B19" s="5" t="s">
        <v>213</v>
      </c>
      <c r="C19" s="5" t="n">
        <v>4119360</v>
      </c>
      <c r="D19" s="5" t="s">
        <v>214</v>
      </c>
      <c r="E19" s="5" t="s">
        <v>215</v>
      </c>
      <c r="F19" s="5" t="s">
        <v>216</v>
      </c>
      <c r="G19" s="5" t="s">
        <v>217</v>
      </c>
      <c r="H19" s="5" t="n">
        <v>15616</v>
      </c>
      <c r="I19" s="5" t="s">
        <v>218</v>
      </c>
      <c r="J19" s="6" t="n">
        <v>45034</v>
      </c>
      <c r="K19" s="6" t="n">
        <v>45038</v>
      </c>
      <c r="L19" s="13" t="n">
        <f aca="false">K19-J19</f>
        <v>4</v>
      </c>
      <c r="M19" s="5" t="s">
        <v>70</v>
      </c>
      <c r="N19" s="5" t="s">
        <v>219</v>
      </c>
      <c r="O19" s="5" t="n">
        <v>3.5</v>
      </c>
      <c r="P19" s="5" t="n">
        <v>310</v>
      </c>
      <c r="Q19" s="5" t="n">
        <v>13</v>
      </c>
      <c r="R19" s="5" t="n">
        <v>1</v>
      </c>
      <c r="S19" s="5" t="s">
        <v>100</v>
      </c>
      <c r="T19" s="5" t="n">
        <v>30</v>
      </c>
      <c r="U19" s="5" t="n">
        <v>1</v>
      </c>
      <c r="V19" s="5" t="s">
        <v>101</v>
      </c>
      <c r="W19" s="5" t="s">
        <v>220</v>
      </c>
      <c r="X19" s="6" t="n">
        <v>45036</v>
      </c>
      <c r="Y19" s="5" t="s">
        <v>50</v>
      </c>
      <c r="Z19" s="5" t="s">
        <v>221</v>
      </c>
      <c r="AA19" s="5" t="s">
        <v>222</v>
      </c>
      <c r="AB19" s="5" t="s">
        <v>71</v>
      </c>
      <c r="AC19" s="5" t="s">
        <v>153</v>
      </c>
      <c r="AD19" s="5" t="s">
        <v>59</v>
      </c>
      <c r="AE19" s="6" t="n">
        <v>45048</v>
      </c>
      <c r="AF19" s="5" t="n">
        <v>3</v>
      </c>
      <c r="AG19" s="5" t="n">
        <v>4</v>
      </c>
      <c r="AH19" s="5" t="n">
        <v>3</v>
      </c>
      <c r="AI19" s="5"/>
      <c r="AJ19" s="5" t="s">
        <v>106</v>
      </c>
      <c r="AK19" s="5"/>
      <c r="AL19" s="5" t="s">
        <v>131</v>
      </c>
      <c r="AM19" s="5" t="s">
        <v>62</v>
      </c>
      <c r="AN19" s="5"/>
      <c r="AO19" s="5"/>
      <c r="AP19" s="5" t="s">
        <v>223</v>
      </c>
    </row>
    <row r="20" customFormat="false" ht="15" hidden="false" customHeight="true" outlineLevel="0" collapsed="false">
      <c r="A20" s="5" t="n">
        <v>17</v>
      </c>
      <c r="B20" s="5" t="s">
        <v>224</v>
      </c>
      <c r="C20" s="5" t="n">
        <v>4093624</v>
      </c>
      <c r="D20" s="5" t="s">
        <v>225</v>
      </c>
      <c r="E20" s="6" t="n">
        <v>13274</v>
      </c>
      <c r="F20" s="5" t="n">
        <f aca="false">INT((J20-E20)/365.25)</f>
        <v>86</v>
      </c>
      <c r="G20" s="5" t="s">
        <v>67</v>
      </c>
      <c r="H20" s="5" t="s">
        <v>226</v>
      </c>
      <c r="I20" s="5"/>
      <c r="J20" s="6" t="n">
        <v>45039</v>
      </c>
      <c r="K20" s="6" t="n">
        <v>45052</v>
      </c>
      <c r="L20" s="13" t="n">
        <f aca="false">K20-J20</f>
        <v>13</v>
      </c>
      <c r="M20" s="5" t="s">
        <v>50</v>
      </c>
      <c r="N20" s="5" t="s">
        <v>165</v>
      </c>
      <c r="O20" s="5" t="n">
        <v>1</v>
      </c>
      <c r="P20" s="5" t="n">
        <v>293000</v>
      </c>
      <c r="Q20" s="5" t="n">
        <v>15</v>
      </c>
      <c r="R20" s="5" t="n">
        <v>1</v>
      </c>
      <c r="S20" s="5" t="s">
        <v>100</v>
      </c>
      <c r="T20" s="5" t="n">
        <v>15</v>
      </c>
      <c r="U20" s="5" t="n">
        <v>3</v>
      </c>
      <c r="V20" s="5" t="s">
        <v>101</v>
      </c>
      <c r="W20" s="5" t="n">
        <v>4</v>
      </c>
      <c r="X20" s="6" t="n">
        <v>45042</v>
      </c>
      <c r="Y20" s="5" t="s">
        <v>50</v>
      </c>
      <c r="Z20" s="5" t="n">
        <v>2</v>
      </c>
      <c r="AA20" s="5" t="n">
        <v>55</v>
      </c>
      <c r="AB20" s="5" t="s">
        <v>104</v>
      </c>
      <c r="AC20" s="5"/>
      <c r="AD20" s="5" t="s">
        <v>106</v>
      </c>
      <c r="AE20" s="5"/>
      <c r="AF20" s="5" t="n">
        <v>0</v>
      </c>
      <c r="AG20" s="5" t="n">
        <v>0</v>
      </c>
      <c r="AH20" s="5"/>
      <c r="AI20" s="5"/>
      <c r="AJ20" s="5"/>
      <c r="AK20" s="5"/>
      <c r="AL20" s="5"/>
      <c r="AM20" s="5"/>
      <c r="AN20" s="5"/>
      <c r="AO20" s="5"/>
      <c r="AP20" s="5" t="s">
        <v>227</v>
      </c>
    </row>
    <row r="21" customFormat="false" ht="15" hidden="false" customHeight="true" outlineLevel="0" collapsed="false">
      <c r="A21" s="5" t="n">
        <v>17</v>
      </c>
      <c r="B21" s="5" t="s">
        <v>228</v>
      </c>
      <c r="C21" s="5" t="n">
        <v>4160639</v>
      </c>
      <c r="D21" s="5" t="s">
        <v>229</v>
      </c>
      <c r="E21" s="6" t="n">
        <v>21715</v>
      </c>
      <c r="F21" s="5" t="n">
        <f aca="false">INT((J21-E21)/365.25)</f>
        <v>63</v>
      </c>
      <c r="G21" s="5" t="s">
        <v>67</v>
      </c>
      <c r="H21" s="5" t="n">
        <v>23531</v>
      </c>
      <c r="I21" s="5" t="s">
        <v>230</v>
      </c>
      <c r="J21" s="6" t="n">
        <v>45039</v>
      </c>
      <c r="K21" s="6" t="n">
        <v>45055</v>
      </c>
      <c r="L21" s="13" t="n">
        <f aca="false">K21-J21</f>
        <v>16</v>
      </c>
      <c r="M21" s="5" t="s">
        <v>77</v>
      </c>
      <c r="N21" s="5" t="s">
        <v>71</v>
      </c>
      <c r="O21" s="5" t="n">
        <v>1</v>
      </c>
      <c r="P21" s="5" t="s">
        <v>231</v>
      </c>
      <c r="Q21" s="5" t="s">
        <v>232</v>
      </c>
      <c r="R21" s="5" t="n">
        <v>1</v>
      </c>
      <c r="S21" s="5" t="s">
        <v>168</v>
      </c>
      <c r="T21" s="5" t="n">
        <v>27</v>
      </c>
      <c r="U21" s="5" t="n">
        <v>15</v>
      </c>
      <c r="V21" s="5" t="s">
        <v>169</v>
      </c>
      <c r="W21" s="5" t="n">
        <v>3</v>
      </c>
      <c r="X21" s="6" t="n">
        <v>45041</v>
      </c>
      <c r="Y21" s="5" t="s">
        <v>50</v>
      </c>
      <c r="Z21" s="5" t="s">
        <v>90</v>
      </c>
      <c r="AA21" s="5" t="s">
        <v>233</v>
      </c>
      <c r="AB21" s="5" t="s">
        <v>205</v>
      </c>
      <c r="AC21" s="5" t="s">
        <v>80</v>
      </c>
      <c r="AD21" s="5" t="s">
        <v>59</v>
      </c>
      <c r="AE21" s="6" t="n">
        <v>45102</v>
      </c>
      <c r="AF21" s="5" t="n">
        <v>0</v>
      </c>
      <c r="AG21" s="5" t="n">
        <v>0</v>
      </c>
      <c r="AH21" s="5" t="n">
        <v>0</v>
      </c>
      <c r="AI21" s="5"/>
      <c r="AJ21" s="5" t="s">
        <v>106</v>
      </c>
      <c r="AK21" s="5"/>
      <c r="AL21" s="5"/>
      <c r="AM21" s="5"/>
      <c r="AN21" s="5"/>
      <c r="AO21" s="5"/>
      <c r="AP21" s="5" t="s">
        <v>234</v>
      </c>
    </row>
    <row r="22" customFormat="false" ht="15" hidden="false" customHeight="true" outlineLevel="0" collapsed="false">
      <c r="A22" s="5" t="n">
        <v>19</v>
      </c>
      <c r="B22" s="5" t="s">
        <v>235</v>
      </c>
      <c r="C22" s="5" t="n">
        <v>4322696</v>
      </c>
      <c r="D22" s="5" t="s">
        <v>236</v>
      </c>
      <c r="E22" s="6" t="n">
        <v>21416</v>
      </c>
      <c r="F22" s="5" t="n">
        <v>64</v>
      </c>
      <c r="G22" s="5" t="s">
        <v>183</v>
      </c>
      <c r="H22" s="5" t="n">
        <v>99650</v>
      </c>
      <c r="I22" s="5" t="s">
        <v>237</v>
      </c>
      <c r="J22" s="5" t="n">
        <v>45067</v>
      </c>
      <c r="K22" s="6" t="n">
        <v>45085</v>
      </c>
      <c r="L22" s="5" t="n">
        <v>18</v>
      </c>
      <c r="M22" s="5" t="s">
        <v>113</v>
      </c>
      <c r="N22" s="5" t="s">
        <v>71</v>
      </c>
      <c r="O22" s="5" t="n">
        <v>1.3</v>
      </c>
      <c r="P22" s="5" t="n">
        <v>373</v>
      </c>
      <c r="Q22" s="5" t="n">
        <v>15</v>
      </c>
      <c r="R22" s="5" t="s">
        <v>238</v>
      </c>
      <c r="S22" s="5" t="s">
        <v>53</v>
      </c>
      <c r="T22" s="5" t="n">
        <v>1.1</v>
      </c>
      <c r="U22" s="5" t="n">
        <v>8</v>
      </c>
      <c r="V22" s="5" t="s">
        <v>74</v>
      </c>
      <c r="W22" s="5" t="n">
        <v>2</v>
      </c>
      <c r="X22" s="6" t="n">
        <v>45070</v>
      </c>
      <c r="Y22" s="5" t="s">
        <v>153</v>
      </c>
      <c r="Z22" s="5" t="n">
        <v>1</v>
      </c>
      <c r="AA22" s="5" t="s">
        <v>239</v>
      </c>
      <c r="AB22" s="5" t="s">
        <v>54</v>
      </c>
      <c r="AC22" s="5" t="s">
        <v>77</v>
      </c>
      <c r="AD22" s="5" t="s">
        <v>77</v>
      </c>
      <c r="AE22" s="5"/>
      <c r="AF22" s="5" t="n">
        <v>1</v>
      </c>
      <c r="AG22" s="5" t="n">
        <v>0</v>
      </c>
      <c r="AH22" s="5" t="s">
        <v>130</v>
      </c>
      <c r="AI22" s="5" t="s">
        <v>60</v>
      </c>
      <c r="AJ22" s="5" t="s">
        <v>77</v>
      </c>
      <c r="AK22" s="5"/>
      <c r="AL22" s="5" t="s">
        <v>144</v>
      </c>
      <c r="AM22" s="5"/>
      <c r="AN22" s="5"/>
      <c r="AO22" s="5"/>
      <c r="AP22" s="5" t="s">
        <v>240</v>
      </c>
    </row>
    <row r="23" customFormat="false" ht="15" hidden="false" customHeight="true" outlineLevel="0" collapsed="false">
      <c r="A23" s="5" t="n">
        <v>20</v>
      </c>
      <c r="B23" s="5" t="s">
        <v>241</v>
      </c>
      <c r="C23" s="5" t="n">
        <v>4040800</v>
      </c>
      <c r="D23" s="5" t="s">
        <v>242</v>
      </c>
      <c r="E23" s="5" t="s">
        <v>243</v>
      </c>
      <c r="F23" s="5" t="n">
        <v>60</v>
      </c>
      <c r="G23" s="5" t="s">
        <v>158</v>
      </c>
      <c r="H23" s="5" t="s">
        <v>244</v>
      </c>
      <c r="I23" s="5" t="s">
        <v>245</v>
      </c>
      <c r="J23" s="5" t="n">
        <v>45070</v>
      </c>
      <c r="K23" s="5" t="n">
        <v>45076</v>
      </c>
      <c r="L23" s="5" t="s">
        <v>87</v>
      </c>
      <c r="M23" s="5" t="s">
        <v>50</v>
      </c>
      <c r="N23" s="5" t="s">
        <v>165</v>
      </c>
      <c r="O23" s="5" t="n">
        <v>1.1</v>
      </c>
      <c r="P23" s="5" t="s">
        <v>246</v>
      </c>
      <c r="Q23" s="5" t="n">
        <v>8</v>
      </c>
      <c r="R23" s="5" t="n">
        <v>3</v>
      </c>
      <c r="S23" s="5" t="s">
        <v>115</v>
      </c>
      <c r="T23" s="5" t="n">
        <v>28</v>
      </c>
      <c r="U23" s="5" t="n">
        <v>5</v>
      </c>
      <c r="V23" s="5" t="s">
        <v>116</v>
      </c>
      <c r="W23" s="5" t="s">
        <v>247</v>
      </c>
      <c r="X23" s="5" t="s">
        <v>248</v>
      </c>
      <c r="Y23" s="5" t="s">
        <v>50</v>
      </c>
      <c r="Z23" s="5" t="n">
        <v>1</v>
      </c>
      <c r="AA23" s="5" t="n">
        <v>2.33</v>
      </c>
      <c r="AB23" s="5" t="s">
        <v>188</v>
      </c>
      <c r="AC23" s="5" t="s">
        <v>50</v>
      </c>
      <c r="AD23" s="5" t="s">
        <v>80</v>
      </c>
      <c r="AE23" s="6" t="n">
        <v>45156</v>
      </c>
      <c r="AF23" s="5" t="n">
        <v>2</v>
      </c>
      <c r="AG23" s="5" t="n">
        <v>2</v>
      </c>
      <c r="AH23" s="5" t="n">
        <v>2</v>
      </c>
      <c r="AI23" s="5" t="s">
        <v>60</v>
      </c>
      <c r="AJ23" s="5" t="s">
        <v>80</v>
      </c>
      <c r="AK23" s="5" t="s">
        <v>249</v>
      </c>
      <c r="AL23" s="5" t="s">
        <v>107</v>
      </c>
      <c r="AM23" s="5"/>
      <c r="AN23" s="5"/>
      <c r="AO23" s="5"/>
      <c r="AP23" s="5" t="s">
        <v>250</v>
      </c>
    </row>
    <row r="24" customFormat="false" ht="15" hidden="false" customHeight="true" outlineLevel="0" collapsed="false">
      <c r="A24" s="5" t="n">
        <v>21</v>
      </c>
      <c r="B24" s="5" t="s">
        <v>251</v>
      </c>
      <c r="C24" s="5" t="n">
        <v>4497939</v>
      </c>
      <c r="D24" s="5" t="s">
        <v>252</v>
      </c>
      <c r="E24" s="6" t="n">
        <v>22965</v>
      </c>
      <c r="F24" s="5" t="n">
        <f aca="false">INT((J24-E24)/365.25)</f>
        <v>60</v>
      </c>
      <c r="G24" s="5" t="s">
        <v>158</v>
      </c>
      <c r="H24" s="5" t="n">
        <v>16870</v>
      </c>
      <c r="I24" s="5"/>
      <c r="J24" s="6" t="n">
        <v>45078</v>
      </c>
      <c r="K24" s="6" t="n">
        <v>45097</v>
      </c>
      <c r="L24" s="13" t="n">
        <f aca="false">K24-J24</f>
        <v>19</v>
      </c>
      <c r="M24" s="5" t="s">
        <v>87</v>
      </c>
      <c r="N24" s="5" t="s">
        <v>253</v>
      </c>
      <c r="O24" s="5" t="n">
        <v>1.4</v>
      </c>
      <c r="P24" s="5" t="n">
        <v>235</v>
      </c>
      <c r="Q24" s="5" t="s">
        <v>254</v>
      </c>
      <c r="R24" s="5" t="n">
        <v>4</v>
      </c>
      <c r="S24" s="5" t="s">
        <v>100</v>
      </c>
      <c r="T24" s="5" t="n">
        <v>12</v>
      </c>
      <c r="U24" s="5" t="n">
        <v>6</v>
      </c>
      <c r="V24" s="5" t="s">
        <v>101</v>
      </c>
      <c r="W24" s="5" t="n">
        <v>3</v>
      </c>
      <c r="X24" s="6" t="n">
        <v>45078</v>
      </c>
      <c r="Y24" s="5" t="s">
        <v>50</v>
      </c>
      <c r="Z24" s="5" t="s">
        <v>90</v>
      </c>
      <c r="AA24" s="5" t="n">
        <v>1.7</v>
      </c>
      <c r="AB24" s="5" t="s">
        <v>76</v>
      </c>
      <c r="AC24" s="5" t="s">
        <v>77</v>
      </c>
      <c r="AD24" s="5" t="s">
        <v>106</v>
      </c>
      <c r="AE24" s="5"/>
      <c r="AF24" s="5" t="s">
        <v>255</v>
      </c>
      <c r="AG24" s="5" t="n">
        <v>5</v>
      </c>
      <c r="AH24" s="5" t="n">
        <v>4</v>
      </c>
      <c r="AI24" s="5" t="s">
        <v>256</v>
      </c>
      <c r="AJ24" s="5" t="s">
        <v>106</v>
      </c>
      <c r="AK24" s="5"/>
      <c r="AL24" s="5"/>
      <c r="AM24" s="5" t="s">
        <v>62</v>
      </c>
      <c r="AN24" s="5"/>
      <c r="AO24" s="5"/>
      <c r="AP24" s="5" t="s">
        <v>257</v>
      </c>
    </row>
    <row r="25" customFormat="false" ht="15" hidden="false" customHeight="true" outlineLevel="0" collapsed="false">
      <c r="A25" s="5" t="n">
        <v>22</v>
      </c>
      <c r="B25" s="5" t="s">
        <v>258</v>
      </c>
      <c r="C25" s="5" t="n">
        <v>4243503</v>
      </c>
      <c r="D25" s="5" t="s">
        <v>259</v>
      </c>
      <c r="E25" s="6" t="n">
        <v>10370</v>
      </c>
      <c r="F25" s="5" t="n">
        <v>95</v>
      </c>
      <c r="G25" s="5" t="s">
        <v>84</v>
      </c>
      <c r="H25" s="5" t="n">
        <v>19556</v>
      </c>
      <c r="I25" s="5" t="s">
        <v>260</v>
      </c>
      <c r="J25" s="5" t="s">
        <v>261</v>
      </c>
      <c r="K25" s="6" t="n">
        <v>45102</v>
      </c>
      <c r="L25" s="5" t="s">
        <v>262</v>
      </c>
      <c r="M25" s="5" t="s">
        <v>87</v>
      </c>
      <c r="N25" s="5" t="s">
        <v>128</v>
      </c>
      <c r="O25" s="5" t="n">
        <v>1.2</v>
      </c>
      <c r="P25" s="5" t="n">
        <v>150</v>
      </c>
      <c r="Q25" s="5" t="n">
        <v>13</v>
      </c>
      <c r="R25" s="5" t="n">
        <v>0</v>
      </c>
      <c r="S25" s="5" t="s">
        <v>100</v>
      </c>
      <c r="T25" s="5" t="n">
        <v>28</v>
      </c>
      <c r="U25" s="5" t="n">
        <v>10</v>
      </c>
      <c r="V25" s="5" t="s">
        <v>169</v>
      </c>
      <c r="W25" s="5" t="n">
        <v>1</v>
      </c>
      <c r="X25" s="6" t="n">
        <v>45093</v>
      </c>
      <c r="Y25" s="5" t="s">
        <v>153</v>
      </c>
      <c r="Z25" s="5" t="n">
        <v>1</v>
      </c>
      <c r="AA25" s="5" t="n">
        <v>120</v>
      </c>
      <c r="AB25" s="5" t="s">
        <v>71</v>
      </c>
      <c r="AC25" s="5" t="s">
        <v>80</v>
      </c>
      <c r="AD25" s="5" t="s">
        <v>106</v>
      </c>
      <c r="AE25" s="5" t="s">
        <v>263</v>
      </c>
      <c r="AF25" s="5" t="n">
        <v>5</v>
      </c>
      <c r="AG25" s="5" t="n">
        <v>5</v>
      </c>
      <c r="AH25" s="5" t="s">
        <v>94</v>
      </c>
      <c r="AI25" s="5" t="s">
        <v>256</v>
      </c>
      <c r="AJ25" s="5" t="s">
        <v>80</v>
      </c>
      <c r="AK25" s="5" t="s">
        <v>264</v>
      </c>
      <c r="AL25" s="5" t="s">
        <v>144</v>
      </c>
      <c r="AM25" s="5"/>
      <c r="AN25" s="5"/>
      <c r="AO25" s="5"/>
      <c r="AP25" s="5" t="s">
        <v>265</v>
      </c>
    </row>
    <row r="26" customFormat="false" ht="15" hidden="false" customHeight="true" outlineLevel="0" collapsed="false">
      <c r="A26" s="5" t="n">
        <v>23</v>
      </c>
      <c r="B26" s="5" t="s">
        <v>266</v>
      </c>
      <c r="C26" s="5" t="n">
        <v>4580458</v>
      </c>
      <c r="D26" s="5" t="s">
        <v>267</v>
      </c>
      <c r="E26" s="6" t="n">
        <v>21704</v>
      </c>
      <c r="F26" s="5" t="s">
        <v>268</v>
      </c>
      <c r="G26" s="5" t="s">
        <v>183</v>
      </c>
      <c r="H26" s="5" t="s">
        <v>269</v>
      </c>
      <c r="I26" s="5" t="s">
        <v>270</v>
      </c>
      <c r="J26" s="5" t="s">
        <v>271</v>
      </c>
      <c r="K26" s="5" t="s">
        <v>272</v>
      </c>
      <c r="L26" s="5" t="n">
        <v>16</v>
      </c>
      <c r="M26" s="5" t="s">
        <v>80</v>
      </c>
      <c r="N26" s="5" t="s">
        <v>273</v>
      </c>
      <c r="O26" s="5" t="n">
        <v>1.3</v>
      </c>
      <c r="P26" s="5" t="s">
        <v>72</v>
      </c>
      <c r="Q26" s="5" t="n">
        <v>15</v>
      </c>
      <c r="R26" s="5" t="s">
        <v>274</v>
      </c>
      <c r="S26" s="5" t="s">
        <v>151</v>
      </c>
      <c r="T26" s="5" t="s">
        <v>275</v>
      </c>
      <c r="U26" s="5" t="n">
        <v>10</v>
      </c>
      <c r="V26" s="5" t="s">
        <v>142</v>
      </c>
      <c r="W26" s="5" t="n">
        <v>2</v>
      </c>
      <c r="X26" s="6" t="n">
        <v>45100</v>
      </c>
      <c r="Y26" s="5" t="s">
        <v>57</v>
      </c>
      <c r="Z26" s="5" t="n">
        <v>1</v>
      </c>
      <c r="AA26" s="5" t="s">
        <v>276</v>
      </c>
      <c r="AB26" s="5" t="s">
        <v>76</v>
      </c>
      <c r="AC26" s="5" t="s">
        <v>50</v>
      </c>
      <c r="AD26" s="5" t="s">
        <v>77</v>
      </c>
      <c r="AE26" s="5" t="s">
        <v>277</v>
      </c>
      <c r="AF26" s="5" t="n">
        <v>1</v>
      </c>
      <c r="AG26" s="5" t="n">
        <v>1</v>
      </c>
      <c r="AH26" s="5"/>
      <c r="AI26" s="5" t="s">
        <v>256</v>
      </c>
      <c r="AJ26" s="5" t="s">
        <v>77</v>
      </c>
      <c r="AK26" s="5"/>
      <c r="AL26" s="5" t="s">
        <v>120</v>
      </c>
      <c r="AM26" s="5"/>
      <c r="AN26" s="5"/>
      <c r="AO26" s="5"/>
      <c r="AP26" s="5" t="s">
        <v>278</v>
      </c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customFormat="false" ht="15" hidden="false" customHeight="true" outlineLevel="0" collapsed="false">
      <c r="A28" s="5" t="n">
        <v>23</v>
      </c>
      <c r="B28" s="5" t="s">
        <v>279</v>
      </c>
      <c r="C28" s="5" t="n">
        <v>4670334</v>
      </c>
      <c r="D28" s="5" t="s">
        <v>280</v>
      </c>
      <c r="E28" s="5" t="s">
        <v>281</v>
      </c>
      <c r="F28" s="5" t="n">
        <v>88</v>
      </c>
      <c r="G28" s="5" t="s">
        <v>67</v>
      </c>
      <c r="H28" s="5" t="n">
        <v>78939</v>
      </c>
      <c r="I28" s="5" t="s">
        <v>282</v>
      </c>
      <c r="J28" s="5" t="s">
        <v>283</v>
      </c>
      <c r="K28" s="5" t="n">
        <v>45105</v>
      </c>
      <c r="L28" s="5" t="n">
        <v>6</v>
      </c>
      <c r="M28" s="5" t="s">
        <v>50</v>
      </c>
      <c r="N28" s="5" t="s">
        <v>165</v>
      </c>
      <c r="O28" s="5" t="n">
        <v>1.1</v>
      </c>
      <c r="P28" s="5" t="s">
        <v>72</v>
      </c>
      <c r="Q28" s="5" t="n">
        <v>14</v>
      </c>
      <c r="R28" s="5" t="s">
        <v>238</v>
      </c>
      <c r="S28" s="5" t="s">
        <v>202</v>
      </c>
      <c r="T28" s="5" t="s">
        <v>284</v>
      </c>
      <c r="U28" s="5" t="n">
        <v>2</v>
      </c>
      <c r="V28" s="5" t="s">
        <v>194</v>
      </c>
      <c r="W28" s="5" t="s">
        <v>119</v>
      </c>
      <c r="X28" s="6" t="n">
        <v>45100</v>
      </c>
      <c r="Y28" s="5" t="s">
        <v>77</v>
      </c>
      <c r="Z28" s="5"/>
      <c r="AA28" s="5" t="s">
        <v>285</v>
      </c>
      <c r="AB28" s="5" t="s">
        <v>104</v>
      </c>
      <c r="AC28" s="5" t="s">
        <v>105</v>
      </c>
      <c r="AD28" s="5"/>
      <c r="AE28" s="5"/>
      <c r="AF28" s="5" t="s">
        <v>119</v>
      </c>
      <c r="AG28" s="5" t="n">
        <v>4</v>
      </c>
      <c r="AH28" s="5" t="s">
        <v>94</v>
      </c>
      <c r="AI28" s="5" t="s">
        <v>60</v>
      </c>
      <c r="AJ28" s="5" t="s">
        <v>77</v>
      </c>
      <c r="AK28" s="5"/>
      <c r="AL28" s="5"/>
      <c r="AM28" s="5"/>
      <c r="AN28" s="5"/>
      <c r="AO28" s="5"/>
      <c r="AP28" s="5" t="s">
        <v>286</v>
      </c>
    </row>
    <row r="29" customFormat="false" ht="15" hidden="false" customHeight="true" outlineLevel="0" collapsed="false">
      <c r="A29" s="5" t="n">
        <v>25</v>
      </c>
      <c r="B29" s="5" t="s">
        <v>287</v>
      </c>
      <c r="C29" s="5" t="n">
        <v>4981106</v>
      </c>
      <c r="D29" s="5" t="s">
        <v>288</v>
      </c>
      <c r="E29" s="5" t="n">
        <v>19672</v>
      </c>
      <c r="F29" s="5" t="n">
        <v>69</v>
      </c>
      <c r="G29" s="5" t="s">
        <v>148</v>
      </c>
      <c r="H29" s="5" t="n">
        <v>84294</v>
      </c>
      <c r="I29" s="5"/>
      <c r="J29" s="5" t="s">
        <v>289</v>
      </c>
      <c r="K29" s="6" t="n">
        <v>45126</v>
      </c>
      <c r="L29" s="5" t="s">
        <v>290</v>
      </c>
      <c r="M29" s="5" t="s">
        <v>113</v>
      </c>
      <c r="N29" s="5" t="s">
        <v>291</v>
      </c>
      <c r="O29" s="5" t="n">
        <v>1.5</v>
      </c>
      <c r="P29" s="5" t="n">
        <v>131000</v>
      </c>
      <c r="Q29" s="5" t="s">
        <v>139</v>
      </c>
      <c r="R29" s="5" t="s">
        <v>238</v>
      </c>
      <c r="S29" s="5" t="s">
        <v>73</v>
      </c>
      <c r="T29" s="5" t="n">
        <v>10</v>
      </c>
      <c r="U29" s="5" t="n">
        <v>1</v>
      </c>
      <c r="V29" s="5" t="s">
        <v>169</v>
      </c>
      <c r="W29" s="5" t="n">
        <v>2</v>
      </c>
      <c r="X29" s="6" t="n">
        <v>45118</v>
      </c>
      <c r="Y29" s="5" t="s">
        <v>60</v>
      </c>
      <c r="Z29" s="5" t="n">
        <v>2</v>
      </c>
      <c r="AA29" s="5" t="s">
        <v>292</v>
      </c>
      <c r="AB29" s="5" t="s">
        <v>188</v>
      </c>
      <c r="AC29" s="5" t="s">
        <v>153</v>
      </c>
      <c r="AD29" s="5" t="s">
        <v>50</v>
      </c>
      <c r="AE29" s="5" t="s">
        <v>293</v>
      </c>
      <c r="AF29" s="5" t="n">
        <v>1</v>
      </c>
      <c r="AG29" s="5" t="n">
        <v>1</v>
      </c>
      <c r="AH29" s="5" t="n">
        <v>0</v>
      </c>
      <c r="AI29" s="5" t="s">
        <v>256</v>
      </c>
      <c r="AJ29" s="5" t="s">
        <v>77</v>
      </c>
      <c r="AK29" s="5"/>
      <c r="AL29" s="5"/>
      <c r="AM29" s="5"/>
      <c r="AN29" s="5"/>
      <c r="AO29" s="5"/>
      <c r="AP29" s="5" t="s">
        <v>294</v>
      </c>
    </row>
    <row r="30" customFormat="false" ht="15" hidden="false" customHeight="true" outlineLevel="0" collapsed="false">
      <c r="A30" s="5" t="n">
        <v>26</v>
      </c>
      <c r="B30" s="5" t="s">
        <v>295</v>
      </c>
      <c r="C30" s="5" t="s">
        <v>296</v>
      </c>
      <c r="D30" s="5" t="s">
        <v>297</v>
      </c>
      <c r="E30" s="6" t="n">
        <v>15464</v>
      </c>
      <c r="F30" s="5" t="n">
        <f aca="false">INT((J30-E30)/365.25)</f>
        <v>81</v>
      </c>
      <c r="G30" s="5" t="s">
        <v>217</v>
      </c>
      <c r="H30" s="5" t="n">
        <v>10224</v>
      </c>
      <c r="I30" s="5" t="s">
        <v>298</v>
      </c>
      <c r="J30" s="6" t="n">
        <v>45121</v>
      </c>
      <c r="K30" s="6" t="n">
        <v>45136</v>
      </c>
      <c r="L30" s="13" t="n">
        <f aca="false">K30-J30</f>
        <v>15</v>
      </c>
      <c r="M30" s="5" t="s">
        <v>80</v>
      </c>
      <c r="N30" s="5" t="s">
        <v>299</v>
      </c>
      <c r="O30" s="5" t="n">
        <v>1.6</v>
      </c>
      <c r="P30" s="5" t="n">
        <v>322000</v>
      </c>
      <c r="Q30" s="5" t="n">
        <v>15</v>
      </c>
      <c r="R30" s="5" t="n">
        <v>0</v>
      </c>
      <c r="S30" s="5" t="s">
        <v>151</v>
      </c>
      <c r="T30" s="5" t="n">
        <v>26</v>
      </c>
      <c r="U30" s="5" t="n">
        <v>13</v>
      </c>
      <c r="V30" s="5" t="s">
        <v>116</v>
      </c>
      <c r="W30" s="5" t="s">
        <v>247</v>
      </c>
      <c r="X30" s="6" t="n">
        <v>45121</v>
      </c>
      <c r="Y30" s="5" t="s">
        <v>57</v>
      </c>
      <c r="Z30" s="5" t="n">
        <v>2</v>
      </c>
      <c r="AA30" s="5" t="n">
        <v>125</v>
      </c>
      <c r="AB30" s="5" t="s">
        <v>205</v>
      </c>
      <c r="AC30" s="5" t="s">
        <v>153</v>
      </c>
      <c r="AD30" s="5" t="s">
        <v>59</v>
      </c>
      <c r="AE30" s="6" t="n">
        <v>45148</v>
      </c>
      <c r="AF30" s="5" t="n">
        <v>0</v>
      </c>
      <c r="AG30" s="5" t="n">
        <v>1</v>
      </c>
      <c r="AH30" s="5" t="n">
        <v>0</v>
      </c>
      <c r="AI30" s="5" t="s">
        <v>60</v>
      </c>
      <c r="AJ30" s="5"/>
      <c r="AK30" s="5"/>
      <c r="AL30" s="5" t="s">
        <v>197</v>
      </c>
      <c r="AM30" s="5"/>
      <c r="AN30" s="5"/>
      <c r="AO30" s="5"/>
      <c r="AP30" s="5" t="s">
        <v>300</v>
      </c>
    </row>
    <row r="31" customFormat="false" ht="15" hidden="false" customHeight="true" outlineLevel="0" collapsed="false">
      <c r="A31" s="5" t="n">
        <v>27</v>
      </c>
      <c r="B31" s="5" t="n">
        <v>81</v>
      </c>
      <c r="C31" s="5" t="n">
        <v>4607180</v>
      </c>
      <c r="D31" s="5" t="s">
        <v>301</v>
      </c>
      <c r="E31" s="6" t="n">
        <v>12668</v>
      </c>
      <c r="F31" s="5" t="n">
        <f aca="false">INT((J31-E31)/365.25)</f>
        <v>88</v>
      </c>
      <c r="G31" s="5" t="s">
        <v>217</v>
      </c>
      <c r="H31" s="5" t="n">
        <v>34925</v>
      </c>
      <c r="I31" s="5" t="s">
        <v>302</v>
      </c>
      <c r="J31" s="6" t="n">
        <v>45125</v>
      </c>
      <c r="K31" s="6" t="n">
        <v>45140</v>
      </c>
      <c r="L31" s="13" t="n">
        <f aca="false">K31-J31</f>
        <v>15</v>
      </c>
      <c r="M31" s="5" t="s">
        <v>98</v>
      </c>
      <c r="N31" s="5"/>
      <c r="O31" s="5" t="s">
        <v>303</v>
      </c>
      <c r="P31" s="5" t="n">
        <v>144</v>
      </c>
      <c r="Q31" s="5" t="n">
        <v>8</v>
      </c>
      <c r="R31" s="5" t="n">
        <v>2</v>
      </c>
      <c r="S31" s="5" t="s">
        <v>202</v>
      </c>
      <c r="T31" s="5" t="n">
        <v>25</v>
      </c>
      <c r="U31" s="5" t="n">
        <v>15</v>
      </c>
      <c r="V31" s="5" t="s">
        <v>142</v>
      </c>
      <c r="W31" s="5" t="n">
        <v>1</v>
      </c>
      <c r="X31" s="6" t="n">
        <v>45127</v>
      </c>
      <c r="Y31" s="5" t="s">
        <v>60</v>
      </c>
      <c r="Z31" s="5" t="n">
        <v>2</v>
      </c>
      <c r="AA31" s="5" t="n">
        <v>83</v>
      </c>
      <c r="AB31" s="5" t="s">
        <v>304</v>
      </c>
      <c r="AC31" s="5" t="s">
        <v>77</v>
      </c>
      <c r="AD31" s="5" t="s">
        <v>78</v>
      </c>
      <c r="AE31" s="5"/>
      <c r="AF31" s="5" t="n">
        <v>3</v>
      </c>
      <c r="AG31" s="5" t="n">
        <v>3</v>
      </c>
      <c r="AH31" s="5" t="n">
        <v>3</v>
      </c>
      <c r="AI31" s="5" t="s">
        <v>305</v>
      </c>
      <c r="AJ31" s="5" t="s">
        <v>106</v>
      </c>
      <c r="AK31" s="5"/>
      <c r="AL31" s="5"/>
      <c r="AM31" s="5"/>
      <c r="AN31" s="5"/>
      <c r="AO31" s="5"/>
      <c r="AP31" s="5" t="s">
        <v>206</v>
      </c>
    </row>
    <row r="32" customFormat="false" ht="15" hidden="false" customHeight="true" outlineLevel="0" collapsed="false">
      <c r="A32" s="5" t="n">
        <v>28</v>
      </c>
      <c r="B32" s="5" t="s">
        <v>306</v>
      </c>
      <c r="C32" s="5" t="n">
        <v>4853946</v>
      </c>
      <c r="D32" s="5" t="s">
        <v>307</v>
      </c>
      <c r="E32" s="6" t="n">
        <v>18617</v>
      </c>
      <c r="F32" s="5" t="n">
        <f aca="false">INT((J32-E32)/365.25)</f>
        <v>72</v>
      </c>
      <c r="G32" s="5" t="s">
        <v>48</v>
      </c>
      <c r="H32" s="5" t="n">
        <v>78989</v>
      </c>
      <c r="I32" s="5" t="s">
        <v>308</v>
      </c>
      <c r="J32" s="6" t="n">
        <v>45170</v>
      </c>
      <c r="K32" s="5" t="s">
        <v>309</v>
      </c>
      <c r="L32" s="5" t="n">
        <v>4</v>
      </c>
      <c r="M32" s="5" t="s">
        <v>70</v>
      </c>
      <c r="N32" s="5" t="s">
        <v>192</v>
      </c>
      <c r="O32" s="5" t="s">
        <v>310</v>
      </c>
      <c r="P32" s="5" t="n">
        <v>420000</v>
      </c>
      <c r="Q32" s="5" t="n">
        <v>15</v>
      </c>
      <c r="R32" s="5" t="s">
        <v>159</v>
      </c>
      <c r="S32" s="5" t="s">
        <v>91</v>
      </c>
      <c r="T32" s="5" t="n">
        <v>17</v>
      </c>
      <c r="U32" s="5" t="n">
        <v>14</v>
      </c>
      <c r="V32" s="5" t="s">
        <v>194</v>
      </c>
      <c r="W32" s="5" t="s">
        <v>56</v>
      </c>
      <c r="X32" s="6" t="n">
        <v>45173</v>
      </c>
      <c r="Y32" s="5" t="s">
        <v>50</v>
      </c>
      <c r="Z32" s="5" t="s">
        <v>195</v>
      </c>
      <c r="AA32" s="5" t="n">
        <v>43</v>
      </c>
      <c r="AB32" s="5"/>
      <c r="AC32" s="5"/>
      <c r="AD32" s="5" t="s">
        <v>77</v>
      </c>
      <c r="AE32" s="5"/>
      <c r="AF32" s="5" t="n">
        <v>2</v>
      </c>
      <c r="AG32" s="5" t="n">
        <v>2</v>
      </c>
      <c r="AH32" s="5" t="n">
        <v>2</v>
      </c>
      <c r="AI32" s="5" t="s">
        <v>305</v>
      </c>
      <c r="AJ32" s="5"/>
      <c r="AK32" s="5"/>
      <c r="AL32" s="5"/>
      <c r="AM32" s="5"/>
      <c r="AN32" s="5"/>
      <c r="AO32" s="5"/>
      <c r="AP32" s="5" t="s">
        <v>311</v>
      </c>
    </row>
    <row r="33" customFormat="false" ht="15" hidden="false" customHeight="true" outlineLevel="0" collapsed="false">
      <c r="A33" s="17" t="n">
        <v>29</v>
      </c>
      <c r="B33" s="17" t="s">
        <v>312</v>
      </c>
      <c r="C33" s="17" t="n">
        <v>4054502</v>
      </c>
      <c r="D33" s="17" t="s">
        <v>313</v>
      </c>
      <c r="E33" s="18" t="n">
        <v>10702</v>
      </c>
      <c r="F33" s="17" t="n">
        <f aca="false">INT((J33-E33)/365.25)</f>
        <v>94</v>
      </c>
      <c r="G33" s="17" t="s">
        <v>314</v>
      </c>
      <c r="H33" s="17" t="n">
        <v>37413</v>
      </c>
      <c r="I33" s="17" t="s">
        <v>315</v>
      </c>
      <c r="J33" s="18" t="n">
        <v>45188</v>
      </c>
      <c r="K33" s="17" t="s">
        <v>316</v>
      </c>
      <c r="L33" s="17" t="n">
        <v>17</v>
      </c>
      <c r="M33" s="17" t="s">
        <v>80</v>
      </c>
      <c r="N33" s="17" t="s">
        <v>299</v>
      </c>
      <c r="O33" s="17" t="n">
        <v>1.3</v>
      </c>
      <c r="P33" s="17" t="s">
        <v>317</v>
      </c>
      <c r="Q33" s="17" t="s">
        <v>139</v>
      </c>
      <c r="R33" s="17" t="n">
        <v>4</v>
      </c>
      <c r="S33" s="17" t="s">
        <v>115</v>
      </c>
      <c r="T33" s="17" t="s">
        <v>318</v>
      </c>
      <c r="U33" s="17" t="n">
        <v>15</v>
      </c>
      <c r="V33" s="17" t="s">
        <v>74</v>
      </c>
      <c r="W33" s="17" t="n">
        <v>4</v>
      </c>
      <c r="X33" s="18" t="n">
        <v>45190</v>
      </c>
      <c r="Y33" s="17" t="s">
        <v>153</v>
      </c>
      <c r="Z33" s="17" t="n">
        <v>2</v>
      </c>
      <c r="AA33" s="17" t="s">
        <v>319</v>
      </c>
      <c r="AB33" s="17" t="s">
        <v>143</v>
      </c>
      <c r="AC33" s="17" t="s">
        <v>77</v>
      </c>
      <c r="AD33" s="17" t="s">
        <v>77</v>
      </c>
      <c r="AE33" s="17"/>
      <c r="AF33" s="17" t="s">
        <v>93</v>
      </c>
      <c r="AG33" s="17" t="n">
        <v>3</v>
      </c>
      <c r="AH33" s="17"/>
      <c r="AI33" s="17" t="s">
        <v>79</v>
      </c>
      <c r="AJ33" s="17" t="s">
        <v>106</v>
      </c>
      <c r="AK33" s="17"/>
      <c r="AL33" s="17" t="s">
        <v>131</v>
      </c>
      <c r="AM33" s="5"/>
      <c r="AN33" s="5"/>
      <c r="AO33" s="5"/>
      <c r="AP33" s="5" t="s">
        <v>320</v>
      </c>
    </row>
    <row r="34" customFormat="false" ht="15" hidden="false" customHeight="true" outlineLevel="0" collapsed="false">
      <c r="A34" s="5" t="n">
        <v>30</v>
      </c>
      <c r="B34" s="5" t="s">
        <v>321</v>
      </c>
      <c r="C34" s="5" t="s">
        <v>322</v>
      </c>
      <c r="D34" s="5" t="s">
        <v>323</v>
      </c>
      <c r="E34" s="6" t="n">
        <v>15016</v>
      </c>
      <c r="F34" s="5" t="n">
        <f aca="false">INT((J34-E34)/365.25)</f>
        <v>82</v>
      </c>
      <c r="G34" s="5" t="s">
        <v>314</v>
      </c>
      <c r="H34" s="5" t="n">
        <v>77979</v>
      </c>
      <c r="I34" s="5" t="s">
        <v>324</v>
      </c>
      <c r="J34" s="6" t="n">
        <v>45198</v>
      </c>
      <c r="K34" s="6" t="n">
        <v>45209</v>
      </c>
      <c r="L34" s="13" t="n">
        <f aca="false">K34-J34</f>
        <v>11</v>
      </c>
      <c r="M34" s="5" t="s">
        <v>80</v>
      </c>
      <c r="N34" s="5" t="s">
        <v>299</v>
      </c>
      <c r="O34" s="5" t="s">
        <v>99</v>
      </c>
      <c r="P34" s="5" t="n">
        <v>214</v>
      </c>
      <c r="Q34" s="5" t="n">
        <v>8</v>
      </c>
      <c r="R34" s="5" t="n">
        <v>3</v>
      </c>
      <c r="S34" s="5" t="s">
        <v>100</v>
      </c>
      <c r="T34" s="5" t="n">
        <v>10</v>
      </c>
      <c r="U34" s="5" t="n">
        <v>0</v>
      </c>
      <c r="V34" s="5" t="s">
        <v>169</v>
      </c>
      <c r="W34" s="5" t="n">
        <v>3</v>
      </c>
      <c r="X34" s="5" t="s">
        <v>325</v>
      </c>
      <c r="Y34" s="5" t="s">
        <v>57</v>
      </c>
      <c r="Z34" s="5" t="n">
        <v>2</v>
      </c>
      <c r="AA34" s="5" t="s">
        <v>326</v>
      </c>
      <c r="AB34" s="5" t="s">
        <v>104</v>
      </c>
      <c r="AC34" s="5" t="s">
        <v>77</v>
      </c>
      <c r="AD34" s="5" t="s">
        <v>77</v>
      </c>
      <c r="AE34" s="5"/>
      <c r="AF34" s="5" t="n">
        <v>3</v>
      </c>
      <c r="AG34" s="5" t="n">
        <v>3</v>
      </c>
      <c r="AH34" s="5" t="n">
        <v>2</v>
      </c>
      <c r="AI34" s="5" t="s">
        <v>79</v>
      </c>
      <c r="AJ34" s="5" t="s">
        <v>77</v>
      </c>
      <c r="AK34" s="5"/>
      <c r="AL34" s="5"/>
      <c r="AM34" s="5"/>
      <c r="AN34" s="5"/>
      <c r="AO34" s="5"/>
      <c r="AP34" s="5" t="s">
        <v>327</v>
      </c>
    </row>
    <row r="35" customFormat="false" ht="15" hidden="false" customHeight="true" outlineLevel="0" collapsed="false">
      <c r="A35" s="5" t="n">
        <v>31</v>
      </c>
      <c r="B35" s="5" t="s">
        <v>328</v>
      </c>
      <c r="C35" s="5" t="n">
        <v>4442185</v>
      </c>
      <c r="D35" s="5" t="s">
        <v>329</v>
      </c>
      <c r="E35" s="6" t="n">
        <v>19264</v>
      </c>
      <c r="F35" s="5" t="n">
        <f aca="false">INT((J35-E35)/365.25)</f>
        <v>71</v>
      </c>
      <c r="G35" s="5" t="s">
        <v>84</v>
      </c>
      <c r="H35" s="5" t="n">
        <v>38455</v>
      </c>
      <c r="I35" s="5" t="s">
        <v>330</v>
      </c>
      <c r="J35" s="6" t="n">
        <v>45206</v>
      </c>
      <c r="K35" s="6" t="n">
        <v>45221</v>
      </c>
      <c r="L35" s="13" t="n">
        <f aca="false">K35-J35</f>
        <v>15</v>
      </c>
      <c r="M35" s="5" t="s">
        <v>50</v>
      </c>
      <c r="N35" s="5" t="s">
        <v>253</v>
      </c>
      <c r="O35" s="5" t="n">
        <v>1.3</v>
      </c>
      <c r="P35" s="5" t="n">
        <v>155</v>
      </c>
      <c r="Q35" s="5" t="n">
        <v>15</v>
      </c>
      <c r="R35" s="5" t="n">
        <v>1</v>
      </c>
      <c r="S35" s="5" t="s">
        <v>141</v>
      </c>
      <c r="T35" s="5" t="n">
        <v>19</v>
      </c>
      <c r="U35" s="5" t="n">
        <v>11</v>
      </c>
      <c r="V35" s="5" t="s">
        <v>116</v>
      </c>
      <c r="W35" s="5" t="n">
        <v>1</v>
      </c>
      <c r="X35" s="6" t="n">
        <v>45206</v>
      </c>
      <c r="Y35" s="5" t="s">
        <v>60</v>
      </c>
      <c r="Z35" s="5" t="s">
        <v>90</v>
      </c>
      <c r="AA35" s="5" t="s">
        <v>331</v>
      </c>
      <c r="AB35" s="5" t="s">
        <v>143</v>
      </c>
      <c r="AC35" s="5" t="s">
        <v>153</v>
      </c>
      <c r="AD35" s="5" t="s">
        <v>50</v>
      </c>
      <c r="AE35" s="6" t="n">
        <v>45250</v>
      </c>
      <c r="AF35" s="5" t="n">
        <v>1</v>
      </c>
      <c r="AG35" s="5" t="n">
        <v>1</v>
      </c>
      <c r="AH35" s="5" t="s">
        <v>94</v>
      </c>
      <c r="AI35" s="5" t="s">
        <v>60</v>
      </c>
      <c r="AJ35" s="5"/>
      <c r="AK35" s="5"/>
      <c r="AL35" s="5" t="s">
        <v>172</v>
      </c>
      <c r="AM35" s="5"/>
      <c r="AN35" s="5" t="s">
        <v>121</v>
      </c>
      <c r="AO35" s="5"/>
      <c r="AP35" s="5" t="s">
        <v>332</v>
      </c>
    </row>
    <row r="36" customFormat="false" ht="15" hidden="false" customHeight="true" outlineLevel="0" collapsed="false">
      <c r="A36" s="7" t="n">
        <v>31</v>
      </c>
      <c r="B36" s="7" t="s">
        <v>328</v>
      </c>
      <c r="C36" s="7" t="n">
        <v>4442185</v>
      </c>
      <c r="D36" s="7" t="s">
        <v>333</v>
      </c>
      <c r="E36" s="8" t="n">
        <v>19264</v>
      </c>
      <c r="F36" s="7" t="n">
        <v>71</v>
      </c>
      <c r="G36" s="7" t="s">
        <v>84</v>
      </c>
      <c r="H36" s="7" t="n">
        <v>38455</v>
      </c>
      <c r="I36" s="7" t="s">
        <v>334</v>
      </c>
      <c r="J36" s="7" t="s">
        <v>335</v>
      </c>
      <c r="K36" s="8" t="n">
        <v>45219</v>
      </c>
      <c r="L36" s="7" t="s">
        <v>87</v>
      </c>
      <c r="M36" s="7" t="s">
        <v>80</v>
      </c>
      <c r="N36" s="7" t="s">
        <v>291</v>
      </c>
      <c r="O36" s="7" t="n">
        <v>1.5</v>
      </c>
      <c r="P36" s="7" t="n">
        <v>208</v>
      </c>
      <c r="Q36" s="7" t="n">
        <v>14</v>
      </c>
      <c r="R36" s="7" t="s">
        <v>52</v>
      </c>
      <c r="S36" s="7" t="s">
        <v>73</v>
      </c>
      <c r="T36" s="7" t="n">
        <v>19</v>
      </c>
      <c r="U36" s="7" t="n">
        <v>1</v>
      </c>
      <c r="V36" s="7" t="s">
        <v>101</v>
      </c>
      <c r="W36" s="7" t="n">
        <v>1</v>
      </c>
      <c r="X36" s="8" t="n">
        <v>45206</v>
      </c>
      <c r="Y36" s="7" t="s">
        <v>80</v>
      </c>
      <c r="Z36" s="7" t="n">
        <v>3</v>
      </c>
      <c r="AA36" s="7" t="n">
        <v>40</v>
      </c>
      <c r="AB36" s="7" t="s">
        <v>76</v>
      </c>
      <c r="AC36" s="7" t="s">
        <v>105</v>
      </c>
      <c r="AD36" s="7" t="s">
        <v>78</v>
      </c>
      <c r="AE36" s="7"/>
      <c r="AF36" s="7" t="s">
        <v>119</v>
      </c>
      <c r="AG36" s="7" t="n">
        <v>4</v>
      </c>
      <c r="AH36" s="7"/>
      <c r="AI36" s="7" t="s">
        <v>60</v>
      </c>
      <c r="AJ36" s="7" t="s">
        <v>50</v>
      </c>
      <c r="AK36" s="7" t="s">
        <v>336</v>
      </c>
      <c r="AL36" s="7" t="s">
        <v>197</v>
      </c>
      <c r="AM36" s="5"/>
      <c r="AN36" s="5"/>
      <c r="AO36" s="5"/>
      <c r="AP36" s="5" t="s">
        <v>332</v>
      </c>
    </row>
    <row r="37" customFormat="false" ht="15" hidden="false" customHeight="true" outlineLevel="0" collapsed="false">
      <c r="A37" s="5" t="n">
        <v>32</v>
      </c>
      <c r="B37" s="5" t="s">
        <v>337</v>
      </c>
      <c r="C37" s="5" t="n">
        <v>4930777</v>
      </c>
      <c r="D37" s="5" t="s">
        <v>338</v>
      </c>
      <c r="E37" s="6" t="n">
        <v>16522</v>
      </c>
      <c r="F37" s="5" t="n">
        <v>78</v>
      </c>
      <c r="G37" s="5" t="s">
        <v>314</v>
      </c>
      <c r="H37" s="5" t="n">
        <v>76006</v>
      </c>
      <c r="I37" s="5"/>
      <c r="J37" s="5" t="s">
        <v>339</v>
      </c>
      <c r="K37" s="6" t="n">
        <v>45232</v>
      </c>
      <c r="L37" s="5" t="n">
        <v>10</v>
      </c>
      <c r="M37" s="5" t="s">
        <v>87</v>
      </c>
      <c r="N37" s="5" t="s">
        <v>165</v>
      </c>
      <c r="O37" s="5" t="n">
        <v>1.5</v>
      </c>
      <c r="P37" s="5" t="s">
        <v>340</v>
      </c>
      <c r="Q37" s="5" t="n">
        <v>12</v>
      </c>
      <c r="R37" s="5" t="n">
        <v>4</v>
      </c>
      <c r="S37" s="5" t="s">
        <v>141</v>
      </c>
      <c r="T37" s="5" t="n">
        <v>2.8</v>
      </c>
      <c r="U37" s="5" t="n">
        <v>7</v>
      </c>
      <c r="V37" s="5" t="s">
        <v>116</v>
      </c>
      <c r="W37" s="5" t="n">
        <v>2</v>
      </c>
      <c r="X37" s="6" t="n">
        <v>45222</v>
      </c>
      <c r="Y37" s="5" t="s">
        <v>105</v>
      </c>
      <c r="Z37" s="5"/>
      <c r="AA37" s="5" t="s">
        <v>341</v>
      </c>
      <c r="AB37" s="5" t="s">
        <v>143</v>
      </c>
      <c r="AC37" s="5" t="s">
        <v>77</v>
      </c>
      <c r="AD37" s="5" t="s">
        <v>78</v>
      </c>
      <c r="AE37" s="5"/>
      <c r="AF37" s="5" t="s">
        <v>342</v>
      </c>
      <c r="AG37" s="5" t="n">
        <v>0</v>
      </c>
      <c r="AH37" s="5" t="n">
        <v>0</v>
      </c>
      <c r="AI37" s="5" t="s">
        <v>79</v>
      </c>
      <c r="AJ37" s="5" t="s">
        <v>50</v>
      </c>
      <c r="AK37" s="6" t="n">
        <v>45255</v>
      </c>
      <c r="AL37" s="5" t="s">
        <v>120</v>
      </c>
      <c r="AM37" s="5"/>
      <c r="AN37" s="5"/>
      <c r="AO37" s="5"/>
      <c r="AP37" s="5" t="s">
        <v>343</v>
      </c>
    </row>
    <row r="38" customFormat="false" ht="15" hidden="false" customHeight="true" outlineLevel="0" collapsed="false">
      <c r="A38" s="5" t="n">
        <v>33</v>
      </c>
      <c r="B38" s="5" t="s">
        <v>344</v>
      </c>
      <c r="C38" s="5" t="n">
        <v>4825447</v>
      </c>
      <c r="D38" s="5" t="s">
        <v>345</v>
      </c>
      <c r="E38" s="6" t="n">
        <v>21824</v>
      </c>
      <c r="F38" s="5" t="n">
        <v>64</v>
      </c>
      <c r="G38" s="5" t="s">
        <v>183</v>
      </c>
      <c r="H38" s="5" t="n">
        <v>64854</v>
      </c>
      <c r="I38" s="5"/>
      <c r="J38" s="5" t="s">
        <v>346</v>
      </c>
      <c r="K38" s="5" t="s">
        <v>347</v>
      </c>
      <c r="L38" s="5" t="s">
        <v>348</v>
      </c>
      <c r="M38" s="5" t="s">
        <v>50</v>
      </c>
      <c r="N38" s="5" t="s">
        <v>184</v>
      </c>
      <c r="O38" s="5" t="n">
        <v>0</v>
      </c>
      <c r="P38" s="5" t="n">
        <v>224</v>
      </c>
      <c r="Q38" s="5" t="n">
        <v>15</v>
      </c>
      <c r="R38" s="5" t="n">
        <v>4</v>
      </c>
      <c r="S38" s="5" t="s">
        <v>151</v>
      </c>
      <c r="T38" s="5" t="n">
        <v>19</v>
      </c>
      <c r="U38" s="5" t="n">
        <v>2</v>
      </c>
      <c r="V38" s="5" t="s">
        <v>74</v>
      </c>
      <c r="W38" s="5" t="n">
        <v>1</v>
      </c>
      <c r="X38" s="6" t="n">
        <v>45238</v>
      </c>
      <c r="Y38" s="5" t="s">
        <v>153</v>
      </c>
      <c r="Z38" s="5" t="n">
        <v>3</v>
      </c>
      <c r="AA38" s="5" t="n">
        <v>74</v>
      </c>
      <c r="AB38" s="5" t="s">
        <v>304</v>
      </c>
      <c r="AC38" s="5" t="s">
        <v>106</v>
      </c>
      <c r="AD38" s="5"/>
      <c r="AE38" s="5"/>
      <c r="AF38" s="5" t="n">
        <v>2</v>
      </c>
      <c r="AG38" s="5" t="n">
        <v>2</v>
      </c>
      <c r="AH38" s="5"/>
      <c r="AI38" s="5" t="s">
        <v>256</v>
      </c>
      <c r="AJ38" s="5" t="s">
        <v>106</v>
      </c>
      <c r="AK38" s="5"/>
      <c r="AL38" s="5" t="s">
        <v>172</v>
      </c>
      <c r="AM38" s="5"/>
      <c r="AN38" s="5"/>
      <c r="AO38" s="5"/>
      <c r="AP38" s="5" t="s">
        <v>349</v>
      </c>
    </row>
    <row r="39" customFormat="false" ht="15" hidden="false" customHeight="true" outlineLevel="0" collapsed="false">
      <c r="A39" s="5" t="n">
        <v>34</v>
      </c>
      <c r="B39" s="5" t="s">
        <v>350</v>
      </c>
      <c r="C39" s="5" t="n">
        <v>4454863</v>
      </c>
      <c r="D39" s="5" t="s">
        <v>351</v>
      </c>
      <c r="E39" s="5" t="s">
        <v>352</v>
      </c>
      <c r="F39" s="5" t="n">
        <v>95</v>
      </c>
      <c r="G39" s="5" t="s">
        <v>48</v>
      </c>
      <c r="H39" s="5" t="n">
        <v>85080</v>
      </c>
      <c r="I39" s="5"/>
      <c r="J39" s="6" t="n">
        <v>45237</v>
      </c>
      <c r="K39" s="6" t="n">
        <v>45248</v>
      </c>
      <c r="L39" s="13" t="n">
        <f aca="false">K39-J39</f>
        <v>11</v>
      </c>
      <c r="M39" s="5" t="s">
        <v>50</v>
      </c>
      <c r="N39" s="5" t="s">
        <v>165</v>
      </c>
      <c r="O39" s="5" t="n">
        <v>1.2</v>
      </c>
      <c r="P39" s="5" t="n">
        <v>268</v>
      </c>
      <c r="Q39" s="5" t="n">
        <v>13</v>
      </c>
      <c r="R39" s="5" t="n">
        <v>0</v>
      </c>
      <c r="S39" s="5" t="s">
        <v>53</v>
      </c>
      <c r="T39" s="5" t="n">
        <v>1.9</v>
      </c>
      <c r="U39" s="5" t="n">
        <v>15</v>
      </c>
      <c r="V39" s="5" t="s">
        <v>142</v>
      </c>
      <c r="W39" s="5" t="s">
        <v>119</v>
      </c>
      <c r="X39" s="5" t="n">
        <v>45237</v>
      </c>
      <c r="Y39" s="5" t="s">
        <v>153</v>
      </c>
      <c r="Z39" s="5" t="s">
        <v>90</v>
      </c>
      <c r="AA39" s="5" t="n">
        <v>43</v>
      </c>
      <c r="AB39" s="5"/>
      <c r="AC39" s="5"/>
      <c r="AD39" s="5"/>
      <c r="AE39" s="5"/>
      <c r="AF39" s="5" t="s">
        <v>342</v>
      </c>
      <c r="AG39" s="5" t="n">
        <v>0</v>
      </c>
      <c r="AH39" s="5" t="n">
        <v>0</v>
      </c>
      <c r="AI39" s="5" t="s">
        <v>60</v>
      </c>
      <c r="AJ39" s="5"/>
      <c r="AK39" s="5"/>
      <c r="AL39" s="5"/>
      <c r="AM39" s="5"/>
      <c r="AN39" s="5"/>
      <c r="AO39" s="5"/>
      <c r="AP39" s="5" t="s">
        <v>353</v>
      </c>
    </row>
    <row r="40" customFormat="false" ht="15" hidden="false" customHeight="true" outlineLevel="0" collapsed="false">
      <c r="A40" s="5" t="n">
        <v>35</v>
      </c>
      <c r="B40" s="5" t="s">
        <v>354</v>
      </c>
      <c r="C40" s="5" t="s">
        <v>355</v>
      </c>
      <c r="D40" s="5" t="s">
        <v>356</v>
      </c>
      <c r="E40" s="6" t="n">
        <v>15528</v>
      </c>
      <c r="F40" s="5" t="n">
        <f aca="false">INT((J40-E40)/365.25)</f>
        <v>81</v>
      </c>
      <c r="G40" s="5" t="s">
        <v>67</v>
      </c>
      <c r="H40" s="5" t="n">
        <v>76406</v>
      </c>
      <c r="I40" s="5"/>
      <c r="J40" s="6" t="n">
        <v>45262</v>
      </c>
      <c r="K40" s="5" t="s">
        <v>357</v>
      </c>
      <c r="L40" s="5" t="s">
        <v>87</v>
      </c>
      <c r="M40" s="5" t="s">
        <v>113</v>
      </c>
      <c r="N40" s="5" t="s">
        <v>114</v>
      </c>
      <c r="O40" s="5" t="n">
        <v>1</v>
      </c>
      <c r="P40" s="5" t="s">
        <v>72</v>
      </c>
      <c r="Q40" s="5" t="n">
        <v>14</v>
      </c>
      <c r="R40" s="5" t="n">
        <v>4</v>
      </c>
      <c r="S40" s="5" t="s">
        <v>73</v>
      </c>
      <c r="T40" s="5" t="n">
        <v>26</v>
      </c>
      <c r="U40" s="5" t="n">
        <v>5</v>
      </c>
      <c r="V40" s="5" t="s">
        <v>194</v>
      </c>
      <c r="W40" s="5" t="n">
        <v>4</v>
      </c>
      <c r="X40" s="6" t="n">
        <v>45263</v>
      </c>
      <c r="Y40" s="5" t="n">
        <v>0</v>
      </c>
      <c r="Z40" s="5"/>
      <c r="AA40" s="5" t="n">
        <v>0.8</v>
      </c>
      <c r="AB40" s="5" t="s">
        <v>104</v>
      </c>
      <c r="AC40" s="5" t="s">
        <v>77</v>
      </c>
      <c r="AD40" s="5" t="s">
        <v>77</v>
      </c>
      <c r="AE40" s="5"/>
      <c r="AF40" s="5" t="n">
        <v>0</v>
      </c>
      <c r="AG40" s="5" t="n">
        <v>0</v>
      </c>
      <c r="AH40" s="5"/>
      <c r="AI40" s="5"/>
      <c r="AJ40" s="5" t="s">
        <v>50</v>
      </c>
      <c r="AK40" s="6" t="n">
        <v>45460</v>
      </c>
      <c r="AL40" s="5" t="s">
        <v>144</v>
      </c>
      <c r="AM40" s="5"/>
      <c r="AN40" s="5"/>
      <c r="AO40" s="5"/>
      <c r="AP40" s="5" t="s">
        <v>358</v>
      </c>
    </row>
    <row r="41" customFormat="false" ht="15" hidden="false" customHeight="true" outlineLevel="0" collapsed="false">
      <c r="A41" s="5" t="n">
        <v>36</v>
      </c>
      <c r="B41" s="5" t="s">
        <v>359</v>
      </c>
      <c r="C41" s="5" t="n">
        <v>4127741</v>
      </c>
      <c r="D41" s="5" t="s">
        <v>360</v>
      </c>
      <c r="E41" s="5" t="s">
        <v>361</v>
      </c>
      <c r="F41" s="5" t="s">
        <v>268</v>
      </c>
      <c r="G41" s="5" t="s">
        <v>48</v>
      </c>
      <c r="H41" s="5" t="n">
        <v>62778</v>
      </c>
      <c r="I41" s="5"/>
      <c r="J41" s="6" t="n">
        <v>45264</v>
      </c>
      <c r="K41" s="5" t="s">
        <v>362</v>
      </c>
      <c r="L41" s="5" t="n">
        <v>11</v>
      </c>
      <c r="M41" s="5" t="s">
        <v>50</v>
      </c>
      <c r="N41" s="5" t="s">
        <v>71</v>
      </c>
      <c r="O41" s="5" t="s">
        <v>303</v>
      </c>
      <c r="P41" s="5" t="n">
        <v>284</v>
      </c>
      <c r="Q41" s="5" t="n">
        <v>8</v>
      </c>
      <c r="R41" s="5" t="n">
        <v>0</v>
      </c>
      <c r="S41" s="5" t="s">
        <v>141</v>
      </c>
      <c r="T41" s="5" t="s">
        <v>363</v>
      </c>
      <c r="U41" s="5" t="n">
        <v>8</v>
      </c>
      <c r="V41" s="5" t="s">
        <v>55</v>
      </c>
      <c r="W41" s="5" t="n">
        <v>1</v>
      </c>
      <c r="X41" s="6" t="n">
        <v>45266</v>
      </c>
      <c r="Y41" s="5" t="s">
        <v>50</v>
      </c>
      <c r="Z41" s="5" t="n">
        <v>2</v>
      </c>
      <c r="AA41" s="5" t="s">
        <v>364</v>
      </c>
      <c r="AB41" s="5" t="s">
        <v>143</v>
      </c>
      <c r="AC41" s="5" t="s">
        <v>105</v>
      </c>
      <c r="AD41" s="5" t="s">
        <v>77</v>
      </c>
      <c r="AE41" s="5"/>
      <c r="AF41" s="5" t="s">
        <v>119</v>
      </c>
      <c r="AG41" s="5" t="n">
        <v>4</v>
      </c>
      <c r="AH41" s="5" t="s">
        <v>130</v>
      </c>
      <c r="AI41" s="5" t="s">
        <v>79</v>
      </c>
      <c r="AJ41" s="5"/>
      <c r="AK41" s="5"/>
      <c r="AL41" s="5" t="s">
        <v>131</v>
      </c>
      <c r="AM41" s="5"/>
      <c r="AN41" s="5"/>
      <c r="AO41" s="5"/>
      <c r="AP41" s="5" t="s">
        <v>365</v>
      </c>
    </row>
    <row r="42" customFormat="false" ht="15" hidden="false" customHeight="true" outlineLevel="0" collapsed="false">
      <c r="A42" s="17" t="n">
        <v>37</v>
      </c>
      <c r="B42" s="17" t="s">
        <v>366</v>
      </c>
      <c r="C42" s="17" t="n">
        <v>4495680</v>
      </c>
      <c r="D42" s="17" t="s">
        <v>367</v>
      </c>
      <c r="E42" s="17" t="s">
        <v>368</v>
      </c>
      <c r="F42" s="17" t="n">
        <v>71</v>
      </c>
      <c r="G42" s="17" t="s">
        <v>48</v>
      </c>
      <c r="H42" s="17" t="n">
        <v>72708</v>
      </c>
      <c r="I42" s="17" t="s">
        <v>369</v>
      </c>
      <c r="J42" s="17" t="s">
        <v>370</v>
      </c>
      <c r="K42" s="18" t="n">
        <v>45291</v>
      </c>
      <c r="L42" s="17" t="n">
        <v>9</v>
      </c>
      <c r="M42" s="17" t="s">
        <v>70</v>
      </c>
      <c r="N42" s="17"/>
      <c r="O42" s="17" t="n">
        <v>1.4</v>
      </c>
      <c r="P42" s="17" t="n">
        <v>203</v>
      </c>
      <c r="Q42" s="17" t="n">
        <v>15</v>
      </c>
      <c r="R42" s="17" t="s">
        <v>52</v>
      </c>
      <c r="S42" s="17" t="s">
        <v>371</v>
      </c>
      <c r="T42" s="17" t="n">
        <v>27</v>
      </c>
      <c r="U42" s="17" t="n">
        <v>8</v>
      </c>
      <c r="V42" s="17" t="s">
        <v>169</v>
      </c>
      <c r="W42" s="17" t="n">
        <v>1</v>
      </c>
      <c r="X42" s="18" t="n">
        <v>45282</v>
      </c>
      <c r="Y42" s="17" t="s">
        <v>80</v>
      </c>
      <c r="Z42" s="17" t="n">
        <v>2</v>
      </c>
      <c r="AA42" s="17" t="n">
        <v>93</v>
      </c>
      <c r="AB42" s="17"/>
      <c r="AC42" s="17" t="s">
        <v>50</v>
      </c>
      <c r="AD42" s="17" t="s">
        <v>50</v>
      </c>
      <c r="AE42" s="18" t="n">
        <v>45310</v>
      </c>
      <c r="AF42" s="17" t="n">
        <v>3</v>
      </c>
      <c r="AG42" s="17" t="n">
        <v>3</v>
      </c>
      <c r="AH42" s="17" t="n">
        <v>3</v>
      </c>
      <c r="AI42" s="17" t="s">
        <v>79</v>
      </c>
      <c r="AJ42" s="17"/>
      <c r="AK42" s="17"/>
      <c r="AL42" s="17" t="s">
        <v>197</v>
      </c>
      <c r="AM42" s="5"/>
      <c r="AN42" s="5"/>
      <c r="AO42" s="5"/>
      <c r="AP42" s="5" t="s">
        <v>372</v>
      </c>
    </row>
    <row r="43" customFormat="false" ht="15" hidden="false" customHeight="true" outlineLevel="0" collapsed="false">
      <c r="A43" s="5" t="n">
        <v>38</v>
      </c>
      <c r="B43" s="5" t="s">
        <v>373</v>
      </c>
      <c r="C43" s="5" t="n">
        <v>4770458</v>
      </c>
      <c r="D43" s="5" t="s">
        <v>374</v>
      </c>
      <c r="E43" s="6" t="n">
        <v>21445</v>
      </c>
      <c r="F43" s="5" t="n">
        <f aca="false">INT((J43-E43)/365.25)</f>
        <v>65</v>
      </c>
      <c r="G43" s="5" t="s">
        <v>158</v>
      </c>
      <c r="H43" s="5" t="n">
        <v>89331</v>
      </c>
      <c r="I43" s="5" t="s">
        <v>375</v>
      </c>
      <c r="J43" s="6" t="n">
        <v>45308</v>
      </c>
      <c r="K43" s="6" t="n">
        <v>45318</v>
      </c>
      <c r="L43" s="13" t="n">
        <f aca="false">K43-J43</f>
        <v>10</v>
      </c>
      <c r="M43" s="5" t="s">
        <v>113</v>
      </c>
      <c r="N43" s="5" t="s">
        <v>71</v>
      </c>
      <c r="O43" s="5" t="n">
        <v>0.9</v>
      </c>
      <c r="P43" s="5" t="n">
        <v>206</v>
      </c>
      <c r="Q43" s="5" t="s">
        <v>149</v>
      </c>
      <c r="R43" s="5" t="s">
        <v>274</v>
      </c>
      <c r="S43" s="5" t="s">
        <v>115</v>
      </c>
      <c r="T43" s="5" t="s">
        <v>376</v>
      </c>
      <c r="U43" s="5" t="n">
        <v>0</v>
      </c>
      <c r="V43" s="5" t="s">
        <v>87</v>
      </c>
      <c r="W43" s="5" t="s">
        <v>247</v>
      </c>
      <c r="X43" s="6" t="n">
        <v>45308</v>
      </c>
      <c r="Y43" s="5" t="s">
        <v>106</v>
      </c>
      <c r="Z43" s="5"/>
      <c r="AA43" s="5" t="s">
        <v>377</v>
      </c>
      <c r="AB43" s="5" t="s">
        <v>76</v>
      </c>
      <c r="AC43" s="5" t="s">
        <v>106</v>
      </c>
      <c r="AD43" s="5" t="s">
        <v>77</v>
      </c>
      <c r="AE43" s="5"/>
      <c r="AF43" s="5" t="n">
        <v>5</v>
      </c>
      <c r="AG43" s="5" t="n">
        <v>5</v>
      </c>
      <c r="AH43" s="5" t="n">
        <v>5</v>
      </c>
      <c r="AI43" s="5" t="s">
        <v>60</v>
      </c>
      <c r="AJ43" s="5" t="s">
        <v>77</v>
      </c>
      <c r="AK43" s="5"/>
      <c r="AL43" s="5" t="s">
        <v>197</v>
      </c>
      <c r="AM43" s="5"/>
      <c r="AN43" s="5"/>
      <c r="AO43" s="5"/>
      <c r="AP43" s="5" t="s">
        <v>378</v>
      </c>
    </row>
    <row r="44" customFormat="false" ht="15" hidden="false" customHeight="true" outlineLevel="0" collapsed="false">
      <c r="A44" s="5" t="n">
        <v>39</v>
      </c>
      <c r="B44" s="5" t="s">
        <v>379</v>
      </c>
      <c r="C44" s="5" t="n">
        <v>4647822</v>
      </c>
      <c r="D44" s="5" t="s">
        <v>380</v>
      </c>
      <c r="E44" s="5" t="s">
        <v>381</v>
      </c>
      <c r="F44" s="5" t="n">
        <v>93</v>
      </c>
      <c r="G44" s="5" t="s">
        <v>48</v>
      </c>
      <c r="H44" s="5" t="n">
        <v>61985</v>
      </c>
      <c r="I44" s="5" t="s">
        <v>382</v>
      </c>
      <c r="J44" s="6" t="n">
        <v>45312</v>
      </c>
      <c r="K44" s="6" t="n">
        <v>45315</v>
      </c>
      <c r="L44" s="13" t="n">
        <f aca="false">K44-J44</f>
        <v>3</v>
      </c>
      <c r="M44" s="5" t="s">
        <v>113</v>
      </c>
      <c r="N44" s="5" t="s">
        <v>184</v>
      </c>
      <c r="O44" s="5" t="n">
        <v>1.6</v>
      </c>
      <c r="P44" s="5" t="n">
        <v>183</v>
      </c>
      <c r="Q44" s="5" t="s">
        <v>139</v>
      </c>
      <c r="R44" s="5" t="s">
        <v>90</v>
      </c>
      <c r="S44" s="5" t="s">
        <v>91</v>
      </c>
      <c r="T44" s="5" t="n">
        <v>9</v>
      </c>
      <c r="U44" s="5" t="n">
        <v>12</v>
      </c>
      <c r="V44" s="5" t="s">
        <v>116</v>
      </c>
      <c r="W44" s="5" t="n">
        <v>3</v>
      </c>
      <c r="X44" s="6" t="n">
        <v>45313</v>
      </c>
      <c r="Y44" s="5" t="s">
        <v>60</v>
      </c>
      <c r="Z44" s="5" t="s">
        <v>221</v>
      </c>
      <c r="AA44" s="5" t="s">
        <v>383</v>
      </c>
      <c r="AB44" s="5" t="s">
        <v>188</v>
      </c>
      <c r="AC44" s="5" t="s">
        <v>106</v>
      </c>
      <c r="AD44" s="5" t="s">
        <v>78</v>
      </c>
      <c r="AE44" s="5"/>
      <c r="AF44" s="5" t="n">
        <v>4</v>
      </c>
      <c r="AG44" s="5" t="n">
        <v>3</v>
      </c>
      <c r="AH44" s="5" t="n">
        <v>4</v>
      </c>
      <c r="AI44" s="5" t="s">
        <v>305</v>
      </c>
      <c r="AJ44" s="5"/>
      <c r="AK44" s="5"/>
      <c r="AL44" s="5"/>
      <c r="AM44" s="5"/>
      <c r="AN44" s="5"/>
      <c r="AO44" s="5"/>
      <c r="AP44" s="5" t="s">
        <v>384</v>
      </c>
    </row>
    <row r="45" customFormat="false" ht="15" hidden="false" customHeight="true" outlineLevel="0" collapsed="false">
      <c r="A45" s="5" t="n">
        <v>40</v>
      </c>
      <c r="B45" s="5" t="s">
        <v>385</v>
      </c>
      <c r="C45" s="5" t="n">
        <v>4233374</v>
      </c>
      <c r="D45" s="5" t="s">
        <v>386</v>
      </c>
      <c r="E45" s="6" t="n">
        <v>19994</v>
      </c>
      <c r="F45" s="5" t="n">
        <f aca="false">INT((J45-E45)/365.25)</f>
        <v>69</v>
      </c>
      <c r="G45" s="5" t="s">
        <v>183</v>
      </c>
      <c r="H45" s="5" t="n">
        <v>72568</v>
      </c>
      <c r="I45" s="5" t="s">
        <v>387</v>
      </c>
      <c r="J45" s="6" t="n">
        <v>45314</v>
      </c>
      <c r="K45" s="5" t="s">
        <v>388</v>
      </c>
      <c r="L45" s="5" t="n">
        <v>18</v>
      </c>
      <c r="M45" s="5" t="s">
        <v>106</v>
      </c>
      <c r="N45" s="5" t="s">
        <v>71</v>
      </c>
      <c r="O45" s="5" t="n">
        <v>1.2</v>
      </c>
      <c r="P45" s="5" t="n">
        <v>409</v>
      </c>
      <c r="Q45" s="5" t="s">
        <v>254</v>
      </c>
      <c r="R45" s="5" t="n">
        <v>1</v>
      </c>
      <c r="S45" s="5" t="s">
        <v>151</v>
      </c>
      <c r="T45" s="5" t="s">
        <v>389</v>
      </c>
      <c r="U45" s="5" t="n">
        <v>5</v>
      </c>
      <c r="V45" s="5" t="s">
        <v>116</v>
      </c>
      <c r="W45" s="5" t="n">
        <v>4</v>
      </c>
      <c r="X45" s="6" t="n">
        <v>45317</v>
      </c>
      <c r="Y45" s="5" t="s">
        <v>305</v>
      </c>
      <c r="Z45" s="5"/>
      <c r="AA45" s="5" t="n">
        <v>0.5</v>
      </c>
      <c r="AB45" s="5" t="s">
        <v>205</v>
      </c>
      <c r="AC45" s="5" t="s">
        <v>105</v>
      </c>
      <c r="AD45" s="5" t="s">
        <v>78</v>
      </c>
      <c r="AE45" s="5"/>
      <c r="AF45" s="5" t="n">
        <v>2</v>
      </c>
      <c r="AG45" s="5" t="n">
        <v>2</v>
      </c>
      <c r="AH45" s="5" t="n">
        <v>1</v>
      </c>
      <c r="AI45" s="5" t="s">
        <v>60</v>
      </c>
      <c r="AJ45" s="5" t="s">
        <v>106</v>
      </c>
      <c r="AK45" s="5"/>
      <c r="AL45" s="5"/>
      <c r="AM45" s="5"/>
      <c r="AN45" s="5"/>
      <c r="AO45" s="5"/>
      <c r="AP45" s="5" t="s">
        <v>390</v>
      </c>
    </row>
    <row r="46" customFormat="false" ht="15" hidden="false" customHeight="true" outlineLevel="0" collapsed="false">
      <c r="A46" s="5" t="n">
        <v>41</v>
      </c>
      <c r="B46" s="5" t="s">
        <v>391</v>
      </c>
      <c r="C46" s="5" t="n">
        <v>4246626</v>
      </c>
      <c r="D46" s="5" t="s">
        <v>392</v>
      </c>
      <c r="E46" s="6" t="n">
        <v>10341</v>
      </c>
      <c r="F46" s="5" t="n">
        <f aca="false">INT((J46-E46)/365.25)</f>
        <v>95</v>
      </c>
      <c r="G46" s="5" t="s">
        <v>67</v>
      </c>
      <c r="H46" s="5" t="n">
        <v>93921</v>
      </c>
      <c r="I46" s="5"/>
      <c r="J46" s="6" t="n">
        <v>45322</v>
      </c>
      <c r="K46" s="6" t="n">
        <v>45334</v>
      </c>
      <c r="L46" s="13" t="n">
        <f aca="false">K46-J46</f>
        <v>12</v>
      </c>
      <c r="M46" s="5" t="s">
        <v>106</v>
      </c>
      <c r="N46" s="5" t="s">
        <v>71</v>
      </c>
      <c r="O46" s="5" t="n">
        <v>0.9</v>
      </c>
      <c r="P46" s="5" t="n">
        <v>201000</v>
      </c>
      <c r="Q46" s="5" t="n">
        <v>13</v>
      </c>
      <c r="R46" s="5" t="n">
        <v>2</v>
      </c>
      <c r="S46" s="5" t="s">
        <v>151</v>
      </c>
      <c r="T46" s="5" t="n">
        <v>3.1</v>
      </c>
      <c r="U46" s="5" t="n">
        <v>1</v>
      </c>
      <c r="V46" s="5" t="s">
        <v>169</v>
      </c>
      <c r="W46" s="5" t="s">
        <v>247</v>
      </c>
      <c r="X46" s="6" t="n">
        <v>45324</v>
      </c>
      <c r="Y46" s="5" t="n">
        <v>1</v>
      </c>
      <c r="Z46" s="5" t="s">
        <v>195</v>
      </c>
      <c r="AA46" s="5" t="n">
        <v>1.3</v>
      </c>
      <c r="AB46" s="5"/>
      <c r="AC46" s="5" t="s">
        <v>105</v>
      </c>
      <c r="AD46" s="5" t="s">
        <v>78</v>
      </c>
      <c r="AE46" s="5"/>
      <c r="AF46" s="5" t="n">
        <v>3</v>
      </c>
      <c r="AG46" s="5" t="n">
        <v>3</v>
      </c>
      <c r="AH46" s="5" t="s">
        <v>94</v>
      </c>
      <c r="AI46" s="5"/>
      <c r="AJ46" s="5"/>
      <c r="AK46" s="5"/>
      <c r="AL46" s="5"/>
      <c r="AM46" s="5"/>
      <c r="AN46" s="5"/>
      <c r="AO46" s="5"/>
      <c r="AP46" s="5" t="s">
        <v>393</v>
      </c>
    </row>
    <row r="47" customFormat="false" ht="15" hidden="false" customHeight="true" outlineLevel="0" collapsed="false">
      <c r="A47" s="5" t="n">
        <v>42</v>
      </c>
      <c r="B47" s="5" t="s">
        <v>394</v>
      </c>
      <c r="C47" s="5" t="n">
        <v>4606461</v>
      </c>
      <c r="D47" s="5" t="s">
        <v>395</v>
      </c>
      <c r="E47" s="5" t="s">
        <v>396</v>
      </c>
      <c r="F47" s="5" t="n">
        <v>59</v>
      </c>
      <c r="G47" s="5" t="s">
        <v>217</v>
      </c>
      <c r="H47" s="5" t="n">
        <v>25936</v>
      </c>
      <c r="I47" s="5" t="s">
        <v>397</v>
      </c>
      <c r="J47" s="6" t="n">
        <v>45328</v>
      </c>
      <c r="K47" s="6" t="n">
        <v>45333</v>
      </c>
      <c r="L47" s="13" t="n">
        <f aca="false">K47-J47</f>
        <v>5</v>
      </c>
      <c r="M47" s="5" t="s">
        <v>50</v>
      </c>
      <c r="N47" s="5" t="s">
        <v>291</v>
      </c>
      <c r="O47" s="5" t="n">
        <v>1</v>
      </c>
      <c r="P47" s="5" t="s">
        <v>398</v>
      </c>
      <c r="Q47" s="5" t="n">
        <v>15</v>
      </c>
      <c r="R47" s="5" t="n">
        <v>4</v>
      </c>
      <c r="S47" s="5" t="s">
        <v>91</v>
      </c>
      <c r="T47" s="5" t="s">
        <v>389</v>
      </c>
      <c r="U47" s="5" t="n">
        <v>5</v>
      </c>
      <c r="V47" s="5" t="s">
        <v>74</v>
      </c>
      <c r="W47" s="5" t="s">
        <v>119</v>
      </c>
      <c r="X47" s="6" t="n">
        <v>45330</v>
      </c>
      <c r="Y47" s="5" t="s">
        <v>106</v>
      </c>
      <c r="Z47" s="5"/>
      <c r="AA47" s="5" t="n">
        <v>64</v>
      </c>
      <c r="AB47" s="5" t="s">
        <v>205</v>
      </c>
      <c r="AC47" s="5" t="s">
        <v>106</v>
      </c>
      <c r="AD47" s="5" t="s">
        <v>77</v>
      </c>
      <c r="AE47" s="5"/>
      <c r="AF47" s="5" t="n">
        <v>3</v>
      </c>
      <c r="AG47" s="5" t="n">
        <v>3</v>
      </c>
      <c r="AH47" s="5" t="n">
        <v>2</v>
      </c>
      <c r="AI47" s="5" t="s">
        <v>305</v>
      </c>
      <c r="AJ47" s="5"/>
      <c r="AK47" s="5"/>
      <c r="AL47" s="5" t="s">
        <v>61</v>
      </c>
      <c r="AM47" s="5"/>
      <c r="AN47" s="5"/>
      <c r="AO47" s="5"/>
      <c r="AP47" s="5" t="s">
        <v>399</v>
      </c>
    </row>
    <row r="48" customFormat="false" ht="15" hidden="false" customHeight="true" outlineLevel="0" collapsed="false">
      <c r="A48" s="5" t="n">
        <v>43</v>
      </c>
      <c r="B48" s="5" t="s">
        <v>400</v>
      </c>
      <c r="C48" s="5" t="n">
        <v>4450236</v>
      </c>
      <c r="D48" s="5" t="s">
        <v>401</v>
      </c>
      <c r="E48" s="5" t="s">
        <v>402</v>
      </c>
      <c r="F48" s="5" t="s">
        <v>403</v>
      </c>
      <c r="G48" s="5" t="s">
        <v>48</v>
      </c>
      <c r="H48" s="5" t="n">
        <v>54782</v>
      </c>
      <c r="I48" s="5" t="s">
        <v>404</v>
      </c>
      <c r="J48" s="6" t="n">
        <v>45336</v>
      </c>
      <c r="K48" s="5" t="s">
        <v>405</v>
      </c>
      <c r="L48" s="5" t="s">
        <v>406</v>
      </c>
      <c r="M48" s="5" t="s">
        <v>80</v>
      </c>
      <c r="N48" s="5" t="s">
        <v>71</v>
      </c>
      <c r="O48" s="5" t="n">
        <v>1.4</v>
      </c>
      <c r="P48" s="5" t="n">
        <v>193</v>
      </c>
      <c r="Q48" s="5" t="n">
        <v>12</v>
      </c>
      <c r="R48" s="5" t="s">
        <v>140</v>
      </c>
      <c r="S48" s="5" t="s">
        <v>91</v>
      </c>
      <c r="T48" s="5" t="n">
        <v>23</v>
      </c>
      <c r="U48" s="5" t="n">
        <v>15</v>
      </c>
      <c r="V48" s="5" t="s">
        <v>194</v>
      </c>
      <c r="W48" s="5" t="s">
        <v>247</v>
      </c>
      <c r="X48" s="6" t="n">
        <v>45339</v>
      </c>
      <c r="Y48" s="5" t="n">
        <v>0</v>
      </c>
      <c r="Z48" s="5"/>
      <c r="AA48" s="5" t="n">
        <v>111</v>
      </c>
      <c r="AB48" s="5" t="s">
        <v>104</v>
      </c>
      <c r="AC48" s="5" t="s">
        <v>105</v>
      </c>
      <c r="AD48" s="5" t="s">
        <v>77</v>
      </c>
      <c r="AE48" s="5"/>
      <c r="AF48" s="5" t="s">
        <v>407</v>
      </c>
      <c r="AG48" s="5" t="n">
        <v>1</v>
      </c>
      <c r="AH48" s="5" t="n">
        <v>0</v>
      </c>
      <c r="AI48" s="5" t="s">
        <v>256</v>
      </c>
      <c r="AJ48" s="5" t="s">
        <v>77</v>
      </c>
      <c r="AK48" s="5"/>
      <c r="AL48" s="5" t="s">
        <v>172</v>
      </c>
      <c r="AM48" s="5" t="s">
        <v>62</v>
      </c>
      <c r="AN48" s="5"/>
      <c r="AO48" s="5"/>
      <c r="AP48" s="5" t="s">
        <v>408</v>
      </c>
    </row>
    <row r="49" customFormat="false" ht="15" hidden="false" customHeight="true" outlineLevel="0" collapsed="false">
      <c r="A49" s="5" t="n">
        <v>44</v>
      </c>
      <c r="B49" s="5" t="s">
        <v>409</v>
      </c>
      <c r="C49" s="5" t="n">
        <v>4715301</v>
      </c>
      <c r="D49" s="5" t="s">
        <v>410</v>
      </c>
      <c r="E49" s="6" t="n">
        <v>12424</v>
      </c>
      <c r="F49" s="5" t="n">
        <f aca="false">INT((J49-E49)/365.25)</f>
        <v>90</v>
      </c>
      <c r="G49" s="5" t="s">
        <v>158</v>
      </c>
      <c r="H49" s="5" t="n">
        <v>17359</v>
      </c>
      <c r="I49" s="5" t="s">
        <v>411</v>
      </c>
      <c r="J49" s="6" t="n">
        <v>45341</v>
      </c>
      <c r="K49" s="6" t="n">
        <v>45347</v>
      </c>
      <c r="L49" s="13" t="n">
        <f aca="false">K49-J49</f>
        <v>6</v>
      </c>
      <c r="M49" s="5" t="s">
        <v>87</v>
      </c>
      <c r="N49" s="5" t="s">
        <v>192</v>
      </c>
      <c r="O49" s="5" t="s">
        <v>310</v>
      </c>
      <c r="P49" s="5" t="n">
        <v>298000</v>
      </c>
      <c r="Q49" s="5" t="n">
        <v>15</v>
      </c>
      <c r="R49" s="5" t="n">
        <v>1</v>
      </c>
      <c r="S49" s="5" t="s">
        <v>100</v>
      </c>
      <c r="T49" s="5" t="s">
        <v>178</v>
      </c>
      <c r="U49" s="5" t="n">
        <v>12</v>
      </c>
      <c r="V49" s="5" t="s">
        <v>194</v>
      </c>
      <c r="W49" s="5" t="s">
        <v>247</v>
      </c>
      <c r="X49" s="6" t="n">
        <v>45342</v>
      </c>
      <c r="Y49" s="5" t="s">
        <v>50</v>
      </c>
      <c r="Z49" s="5" t="s">
        <v>204</v>
      </c>
      <c r="AA49" s="5" t="n">
        <v>61</v>
      </c>
      <c r="AB49" s="5"/>
      <c r="AC49" s="5" t="s">
        <v>77</v>
      </c>
      <c r="AD49" s="5"/>
      <c r="AE49" s="5"/>
      <c r="AF49" s="5" t="s">
        <v>342</v>
      </c>
      <c r="AG49" s="5" t="n">
        <v>0</v>
      </c>
      <c r="AH49" s="5" t="n">
        <v>0</v>
      </c>
      <c r="AI49" s="5" t="s">
        <v>256</v>
      </c>
      <c r="AJ49" s="5" t="s">
        <v>106</v>
      </c>
      <c r="AK49" s="5"/>
      <c r="AL49" s="5" t="s">
        <v>107</v>
      </c>
      <c r="AM49" s="5"/>
      <c r="AN49" s="5"/>
      <c r="AO49" s="5"/>
      <c r="AP49" s="5" t="s">
        <v>206</v>
      </c>
    </row>
    <row r="50" customFormat="false" ht="15" hidden="false" customHeight="true" outlineLevel="0" collapsed="false">
      <c r="A50" s="5" t="n">
        <v>44</v>
      </c>
      <c r="B50" s="5" t="n">
        <v>12</v>
      </c>
      <c r="C50" s="5" t="s">
        <v>412</v>
      </c>
      <c r="D50" s="5" t="s">
        <v>413</v>
      </c>
      <c r="E50" s="5" t="s">
        <v>414</v>
      </c>
      <c r="F50" s="5" t="n">
        <v>93</v>
      </c>
      <c r="G50" s="5" t="s">
        <v>48</v>
      </c>
      <c r="H50" s="5" t="n">
        <v>48938</v>
      </c>
      <c r="I50" s="5" t="s">
        <v>415</v>
      </c>
      <c r="J50" s="5" t="s">
        <v>416</v>
      </c>
      <c r="K50" s="6" t="n">
        <v>45384</v>
      </c>
      <c r="L50" s="5" t="s">
        <v>87</v>
      </c>
      <c r="M50" s="5" t="s">
        <v>77</v>
      </c>
      <c r="N50" s="5" t="s">
        <v>128</v>
      </c>
      <c r="O50" s="5" t="n">
        <v>0.9</v>
      </c>
      <c r="P50" s="5" t="n">
        <v>267</v>
      </c>
      <c r="Q50" s="5" t="n">
        <v>15</v>
      </c>
      <c r="R50" s="5" t="s">
        <v>159</v>
      </c>
      <c r="S50" s="5" t="s">
        <v>187</v>
      </c>
      <c r="T50" s="5" t="n">
        <v>2.8</v>
      </c>
      <c r="U50" s="5" t="n">
        <v>0</v>
      </c>
      <c r="V50" s="5" t="s">
        <v>142</v>
      </c>
      <c r="W50" s="5" t="n">
        <v>1</v>
      </c>
      <c r="X50" s="6" t="n">
        <v>45384</v>
      </c>
      <c r="Y50" s="5" t="n">
        <v>0</v>
      </c>
      <c r="Z50" s="5"/>
      <c r="AA50" s="5" t="n">
        <v>94</v>
      </c>
      <c r="AB50" s="5" t="s">
        <v>76</v>
      </c>
      <c r="AC50" s="5"/>
      <c r="AD50" s="5"/>
      <c r="AE50" s="5"/>
      <c r="AF50" s="5" t="n">
        <v>5</v>
      </c>
      <c r="AG50" s="5" t="n">
        <v>5</v>
      </c>
      <c r="AH50" s="5" t="s">
        <v>94</v>
      </c>
      <c r="AI50" s="5" t="s">
        <v>60</v>
      </c>
      <c r="AJ50" s="5"/>
      <c r="AK50" s="5"/>
      <c r="AL50" s="5" t="s">
        <v>144</v>
      </c>
      <c r="AM50" s="5"/>
      <c r="AN50" s="5"/>
      <c r="AO50" s="5"/>
      <c r="AP50" s="5" t="s">
        <v>417</v>
      </c>
    </row>
    <row r="51" customFormat="false" ht="15" hidden="false" customHeight="true" outlineLevel="0" collapsed="false">
      <c r="A51" s="5" t="n">
        <v>46</v>
      </c>
      <c r="B51" s="5" t="s">
        <v>418</v>
      </c>
      <c r="C51" s="5" t="n">
        <v>4090216</v>
      </c>
      <c r="D51" s="5" t="s">
        <v>419</v>
      </c>
      <c r="E51" s="5" t="s">
        <v>420</v>
      </c>
      <c r="F51" s="5" t="n">
        <v>95</v>
      </c>
      <c r="G51" s="5" t="s">
        <v>314</v>
      </c>
      <c r="H51" s="5" t="n">
        <v>50055</v>
      </c>
      <c r="I51" s="5"/>
      <c r="J51" s="6" t="n">
        <v>45400</v>
      </c>
      <c r="K51" s="6" t="n">
        <v>45410</v>
      </c>
      <c r="L51" s="13" t="n">
        <f aca="false">K51-J51</f>
        <v>10</v>
      </c>
      <c r="M51" s="5" t="s">
        <v>77</v>
      </c>
      <c r="N51" s="5" t="s">
        <v>177</v>
      </c>
      <c r="O51" s="5" t="n">
        <v>1.1</v>
      </c>
      <c r="P51" s="5" t="s">
        <v>72</v>
      </c>
      <c r="Q51" s="5" t="n">
        <v>13</v>
      </c>
      <c r="R51" s="5" t="n">
        <v>1</v>
      </c>
      <c r="S51" s="5" t="s">
        <v>73</v>
      </c>
      <c r="T51" s="5" t="n">
        <v>1.7</v>
      </c>
      <c r="U51" s="5" t="n">
        <v>13</v>
      </c>
      <c r="V51" s="5" t="s">
        <v>169</v>
      </c>
      <c r="W51" s="5" t="n">
        <v>1</v>
      </c>
      <c r="X51" s="6" t="n">
        <v>45402</v>
      </c>
      <c r="Y51" s="5" t="s">
        <v>80</v>
      </c>
      <c r="Z51" s="5" t="n">
        <v>3</v>
      </c>
      <c r="AA51" s="5" t="s">
        <v>421</v>
      </c>
      <c r="AB51" s="5" t="s">
        <v>76</v>
      </c>
      <c r="AC51" s="5" t="s">
        <v>153</v>
      </c>
      <c r="AD51" s="5"/>
      <c r="AE51" s="5" t="n">
        <v>45415</v>
      </c>
      <c r="AF51" s="5" t="n">
        <v>5</v>
      </c>
      <c r="AG51" s="5" t="n">
        <v>5</v>
      </c>
      <c r="AH51" s="5"/>
      <c r="AI51" s="5" t="s">
        <v>256</v>
      </c>
      <c r="AJ51" s="5"/>
      <c r="AK51" s="5"/>
      <c r="AL51" s="5"/>
      <c r="AM51" s="5"/>
      <c r="AN51" s="5"/>
      <c r="AO51" s="5"/>
      <c r="AP51" s="5" t="s">
        <v>422</v>
      </c>
    </row>
    <row r="52" customFormat="false" ht="15" hidden="false" customHeight="true" outlineLevel="0" collapsed="false">
      <c r="A52" s="5" t="n">
        <v>47</v>
      </c>
      <c r="B52" s="5" t="s">
        <v>423</v>
      </c>
      <c r="C52" s="5" t="n">
        <v>4020094</v>
      </c>
      <c r="D52" s="5" t="s">
        <v>424</v>
      </c>
      <c r="E52" s="6" t="n">
        <v>19938</v>
      </c>
      <c r="F52" s="5" t="n">
        <f aca="false">INT((J52-E52)/365.25)</f>
        <v>69</v>
      </c>
      <c r="G52" s="5" t="s">
        <v>48</v>
      </c>
      <c r="H52" s="5" t="n">
        <v>95432</v>
      </c>
      <c r="I52" s="5" t="s">
        <v>425</v>
      </c>
      <c r="J52" s="6" t="n">
        <v>45409</v>
      </c>
      <c r="K52" s="6" t="n">
        <v>45424</v>
      </c>
      <c r="L52" s="13" t="n">
        <f aca="false">K52-J52</f>
        <v>15</v>
      </c>
      <c r="M52" s="5" t="s">
        <v>77</v>
      </c>
      <c r="N52" s="5"/>
      <c r="O52" s="5" t="n">
        <v>1.6</v>
      </c>
      <c r="P52" s="5" t="n">
        <v>101</v>
      </c>
      <c r="Q52" s="5" t="n">
        <v>14</v>
      </c>
      <c r="R52" s="5" t="n">
        <v>0</v>
      </c>
      <c r="S52" s="5" t="s">
        <v>168</v>
      </c>
      <c r="T52" s="5" t="n">
        <v>31</v>
      </c>
      <c r="U52" s="5" t="n">
        <v>1</v>
      </c>
      <c r="V52" s="5" t="s">
        <v>101</v>
      </c>
      <c r="W52" s="5" t="n">
        <v>3</v>
      </c>
      <c r="X52" s="6" t="n">
        <v>45409</v>
      </c>
      <c r="Y52" s="5" t="s">
        <v>60</v>
      </c>
      <c r="Z52" s="5" t="s">
        <v>90</v>
      </c>
      <c r="AA52" s="5" t="n">
        <v>1.28</v>
      </c>
      <c r="AB52" s="5" t="s">
        <v>71</v>
      </c>
      <c r="AC52" s="5"/>
      <c r="AD52" s="5" t="s">
        <v>106</v>
      </c>
      <c r="AE52" s="5"/>
      <c r="AF52" s="5" t="n">
        <v>4</v>
      </c>
      <c r="AG52" s="5" t="n">
        <v>4</v>
      </c>
      <c r="AH52" s="5" t="s">
        <v>130</v>
      </c>
      <c r="AI52" s="5" t="s">
        <v>60</v>
      </c>
      <c r="AJ52" s="5" t="s">
        <v>77</v>
      </c>
      <c r="AK52" s="5"/>
      <c r="AL52" s="5" t="s">
        <v>120</v>
      </c>
      <c r="AM52" s="5" t="s">
        <v>62</v>
      </c>
      <c r="AN52" s="5"/>
      <c r="AO52" s="5"/>
      <c r="AP52" s="5" t="s">
        <v>426</v>
      </c>
    </row>
    <row r="53" customFormat="false" ht="15" hidden="false" customHeight="true" outlineLevel="0" collapsed="false">
      <c r="A53" s="5" t="n">
        <v>48</v>
      </c>
      <c r="B53" s="5" t="s">
        <v>427</v>
      </c>
      <c r="C53" s="5" t="n">
        <v>4548723</v>
      </c>
      <c r="D53" s="5" t="s">
        <v>428</v>
      </c>
      <c r="E53" s="6" t="n">
        <v>19317</v>
      </c>
      <c r="F53" s="5" t="n">
        <f aca="false">INT((J53-E53)/365.25)</f>
        <v>71</v>
      </c>
      <c r="G53" s="5" t="s">
        <v>217</v>
      </c>
      <c r="H53" s="5" t="n">
        <v>24658</v>
      </c>
      <c r="I53" s="5" t="s">
        <v>429</v>
      </c>
      <c r="J53" s="6" t="n">
        <v>45421</v>
      </c>
      <c r="K53" s="5" t="s">
        <v>430</v>
      </c>
      <c r="L53" s="5" t="s">
        <v>87</v>
      </c>
      <c r="M53" s="5" t="s">
        <v>87</v>
      </c>
      <c r="N53" s="5" t="s">
        <v>54</v>
      </c>
      <c r="O53" s="5" t="s">
        <v>431</v>
      </c>
      <c r="P53" s="5" t="n">
        <v>122000</v>
      </c>
      <c r="Q53" s="5" t="n">
        <v>15</v>
      </c>
      <c r="R53" s="5" t="n">
        <v>4</v>
      </c>
      <c r="S53" s="5" t="s">
        <v>53</v>
      </c>
      <c r="T53" s="5" t="s">
        <v>432</v>
      </c>
      <c r="U53" s="5" t="n">
        <v>8</v>
      </c>
      <c r="V53" s="5" t="s">
        <v>87</v>
      </c>
      <c r="W53" s="5" t="s">
        <v>433</v>
      </c>
      <c r="X53" s="6" t="n">
        <v>45422</v>
      </c>
      <c r="Y53" s="5" t="s">
        <v>153</v>
      </c>
      <c r="Z53" s="5" t="n">
        <v>3</v>
      </c>
      <c r="AA53" s="5" t="n">
        <v>2.02</v>
      </c>
      <c r="AB53" s="5" t="s">
        <v>71</v>
      </c>
      <c r="AC53" s="5" t="s">
        <v>105</v>
      </c>
      <c r="AD53" s="5"/>
      <c r="AE53" s="5"/>
      <c r="AF53" s="5" t="n">
        <v>4</v>
      </c>
      <c r="AG53" s="5" t="n">
        <v>4</v>
      </c>
      <c r="AH53" s="5"/>
      <c r="AI53" s="5" t="s">
        <v>60</v>
      </c>
      <c r="AJ53" s="5"/>
      <c r="AK53" s="5"/>
      <c r="AL53" s="5" t="s">
        <v>61</v>
      </c>
      <c r="AM53" s="5"/>
      <c r="AN53" s="5"/>
      <c r="AO53" s="5"/>
      <c r="AP53" s="5" t="s">
        <v>434</v>
      </c>
    </row>
    <row r="54" customFormat="false" ht="15" hidden="false" customHeight="true" outlineLevel="0" collapsed="false">
      <c r="A54" s="5" t="n">
        <v>49</v>
      </c>
      <c r="B54" s="5" t="s">
        <v>435</v>
      </c>
      <c r="C54" s="5" t="n">
        <v>4256030</v>
      </c>
      <c r="D54" s="5" t="s">
        <v>436</v>
      </c>
      <c r="E54" s="6" t="n">
        <v>23719</v>
      </c>
      <c r="F54" s="5" t="n">
        <v>59</v>
      </c>
      <c r="G54" s="5" t="s">
        <v>148</v>
      </c>
      <c r="H54" s="5" t="n">
        <v>65196</v>
      </c>
      <c r="I54" s="5" t="s">
        <v>437</v>
      </c>
      <c r="J54" s="5" t="s">
        <v>438</v>
      </c>
      <c r="K54" s="6" t="n">
        <v>45443</v>
      </c>
      <c r="L54" s="5" t="n">
        <v>8</v>
      </c>
      <c r="M54" s="5" t="s">
        <v>98</v>
      </c>
      <c r="N54" s="5" t="s">
        <v>54</v>
      </c>
      <c r="O54" s="5" t="n">
        <v>1.2</v>
      </c>
      <c r="P54" s="5" t="s">
        <v>72</v>
      </c>
      <c r="Q54" s="5" t="n">
        <v>8</v>
      </c>
      <c r="R54" s="5" t="s">
        <v>439</v>
      </c>
      <c r="S54" s="5" t="s">
        <v>371</v>
      </c>
      <c r="T54" s="5" t="s">
        <v>440</v>
      </c>
      <c r="U54" s="5" t="n">
        <v>8</v>
      </c>
      <c r="V54" s="5" t="s">
        <v>169</v>
      </c>
      <c r="W54" s="5" t="n">
        <v>1</v>
      </c>
      <c r="X54" s="6" t="n">
        <v>45435</v>
      </c>
      <c r="Y54" s="5" t="s">
        <v>57</v>
      </c>
      <c r="Z54" s="5" t="s">
        <v>90</v>
      </c>
      <c r="AA54" s="5" t="n">
        <v>45</v>
      </c>
      <c r="AB54" s="5" t="s">
        <v>71</v>
      </c>
      <c r="AC54" s="5"/>
      <c r="AD54" s="5"/>
      <c r="AE54" s="5"/>
      <c r="AF54" s="5" t="s">
        <v>93</v>
      </c>
      <c r="AG54" s="5" t="n">
        <v>3</v>
      </c>
      <c r="AH54" s="5"/>
      <c r="AI54" s="5" t="s">
        <v>79</v>
      </c>
      <c r="AJ54" s="5" t="s">
        <v>106</v>
      </c>
      <c r="AK54" s="5"/>
      <c r="AL54" s="5" t="s">
        <v>131</v>
      </c>
      <c r="AM54" s="5"/>
      <c r="AN54" s="5"/>
      <c r="AO54" s="5"/>
      <c r="AP54" s="5" t="s">
        <v>441</v>
      </c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customFormat="false" ht="15" hidden="false" customHeight="true" outlineLevel="0" collapsed="false">
      <c r="A56" s="5" t="n">
        <v>50</v>
      </c>
      <c r="B56" s="5" t="s">
        <v>442</v>
      </c>
      <c r="C56" s="5" t="n">
        <v>4007724</v>
      </c>
      <c r="D56" s="5" t="s">
        <v>443</v>
      </c>
      <c r="E56" s="5" t="s">
        <v>444</v>
      </c>
      <c r="F56" s="5" t="n">
        <v>59</v>
      </c>
      <c r="G56" s="5" t="s">
        <v>314</v>
      </c>
      <c r="H56" s="5" t="n">
        <v>53671</v>
      </c>
      <c r="I56" s="5" t="s">
        <v>445</v>
      </c>
      <c r="J56" s="5" t="n">
        <v>45440</v>
      </c>
      <c r="K56" s="6" t="n">
        <v>45457</v>
      </c>
      <c r="L56" s="5" t="n">
        <v>17</v>
      </c>
      <c r="M56" s="5" t="s">
        <v>77</v>
      </c>
      <c r="N56" s="5" t="s">
        <v>71</v>
      </c>
      <c r="O56" s="5" t="n">
        <v>1.4</v>
      </c>
      <c r="P56" s="5" t="s">
        <v>72</v>
      </c>
      <c r="Q56" s="5" t="n">
        <v>12</v>
      </c>
      <c r="R56" s="5" t="n">
        <v>0</v>
      </c>
      <c r="S56" s="5" t="s">
        <v>53</v>
      </c>
      <c r="T56" s="5" t="n">
        <v>20</v>
      </c>
      <c r="U56" s="5" t="n">
        <v>0</v>
      </c>
      <c r="V56" s="5" t="s">
        <v>142</v>
      </c>
      <c r="W56" s="5" t="n">
        <v>1</v>
      </c>
      <c r="X56" s="6" t="n">
        <v>45440</v>
      </c>
      <c r="Y56" s="5" t="s">
        <v>153</v>
      </c>
      <c r="Z56" s="5" t="n">
        <v>3</v>
      </c>
      <c r="AA56" s="5" t="s">
        <v>446</v>
      </c>
      <c r="AB56" s="5" t="s">
        <v>71</v>
      </c>
      <c r="AC56" s="5" t="s">
        <v>77</v>
      </c>
      <c r="AD56" s="5" t="s">
        <v>78</v>
      </c>
      <c r="AE56" s="5"/>
      <c r="AF56" s="5" t="n">
        <v>2</v>
      </c>
      <c r="AG56" s="5" t="n">
        <v>2</v>
      </c>
      <c r="AH56" s="5"/>
      <c r="AI56" s="5"/>
      <c r="AJ56" s="5" t="s">
        <v>106</v>
      </c>
      <c r="AK56" s="5"/>
      <c r="AL56" s="5" t="s">
        <v>131</v>
      </c>
      <c r="AM56" s="5" t="s">
        <v>62</v>
      </c>
      <c r="AN56" s="5"/>
      <c r="AO56" s="5"/>
      <c r="AP56" s="5" t="s">
        <v>447</v>
      </c>
    </row>
    <row r="57" customFormat="false" ht="15" hidden="false" customHeight="true" outlineLevel="0" collapsed="false">
      <c r="A57" s="5" t="n">
        <v>51</v>
      </c>
      <c r="B57" s="5" t="s">
        <v>448</v>
      </c>
      <c r="C57" s="5" t="n">
        <v>4808982</v>
      </c>
      <c r="D57" s="5" t="s">
        <v>449</v>
      </c>
      <c r="E57" s="5" t="s">
        <v>450</v>
      </c>
      <c r="F57" s="5" t="s">
        <v>451</v>
      </c>
      <c r="G57" s="5" t="s">
        <v>217</v>
      </c>
      <c r="H57" s="5" t="n">
        <v>36316</v>
      </c>
      <c r="I57" s="5"/>
      <c r="J57" s="6" t="n">
        <v>45442</v>
      </c>
      <c r="K57" s="6" t="n">
        <v>45445</v>
      </c>
      <c r="L57" s="13" t="n">
        <f aca="false">K57-J57</f>
        <v>3</v>
      </c>
      <c r="M57" s="5" t="s">
        <v>70</v>
      </c>
      <c r="N57" s="5" t="s">
        <v>71</v>
      </c>
      <c r="O57" s="5" t="n">
        <v>1</v>
      </c>
      <c r="P57" s="5" t="s">
        <v>72</v>
      </c>
      <c r="Q57" s="5" t="s">
        <v>139</v>
      </c>
      <c r="R57" s="5" t="n">
        <v>1</v>
      </c>
      <c r="S57" s="5" t="s">
        <v>452</v>
      </c>
      <c r="T57" s="5" t="n">
        <v>1.6</v>
      </c>
      <c r="U57" s="5" t="n">
        <v>12</v>
      </c>
      <c r="V57" s="5" t="s">
        <v>194</v>
      </c>
      <c r="W57" s="5" t="n">
        <v>4</v>
      </c>
      <c r="X57" s="5" t="s">
        <v>453</v>
      </c>
      <c r="Y57" s="5" t="s">
        <v>60</v>
      </c>
      <c r="Z57" s="5" t="s">
        <v>221</v>
      </c>
      <c r="AA57" s="5" t="n">
        <v>76</v>
      </c>
      <c r="AB57" s="5"/>
      <c r="AC57" s="5" t="s">
        <v>153</v>
      </c>
      <c r="AD57" s="5"/>
      <c r="AE57" s="5"/>
      <c r="AF57" s="5" t="n">
        <v>2</v>
      </c>
      <c r="AG57" s="5" t="n">
        <v>2</v>
      </c>
      <c r="AH57" s="5"/>
      <c r="AI57" s="5" t="s">
        <v>60</v>
      </c>
      <c r="AJ57" s="5"/>
      <c r="AK57" s="5"/>
      <c r="AL57" s="5" t="s">
        <v>197</v>
      </c>
      <c r="AM57" s="5"/>
      <c r="AN57" s="5"/>
      <c r="AO57" s="5"/>
      <c r="AP57" s="5" t="s">
        <v>454</v>
      </c>
    </row>
    <row r="58" customFormat="false" ht="15" hidden="false" customHeight="true" outlineLevel="0" collapsed="false">
      <c r="A58" s="5" t="n">
        <v>52</v>
      </c>
      <c r="B58" s="5" t="s">
        <v>455</v>
      </c>
      <c r="C58" s="5" t="n">
        <v>4544111</v>
      </c>
      <c r="D58" s="5" t="s">
        <v>175</v>
      </c>
      <c r="E58" s="6" t="n">
        <v>20830</v>
      </c>
      <c r="F58" s="5" t="n">
        <f aca="false">INT((J58-E58)/365.25)</f>
        <v>67</v>
      </c>
      <c r="G58" s="5" t="s">
        <v>158</v>
      </c>
      <c r="H58" s="5" t="s">
        <v>456</v>
      </c>
      <c r="I58" s="5"/>
      <c r="J58" s="6" t="n">
        <v>45446</v>
      </c>
      <c r="K58" s="6" t="n">
        <v>45459</v>
      </c>
      <c r="L58" s="13" t="n">
        <f aca="false">K58-J58</f>
        <v>13</v>
      </c>
      <c r="M58" s="5" t="s">
        <v>77</v>
      </c>
      <c r="N58" s="5" t="s">
        <v>128</v>
      </c>
      <c r="O58" s="5" t="n">
        <v>1.3</v>
      </c>
      <c r="P58" s="5" t="s">
        <v>72</v>
      </c>
      <c r="Q58" s="5" t="n">
        <v>15</v>
      </c>
      <c r="R58" s="5" t="s">
        <v>238</v>
      </c>
      <c r="S58" s="5" t="s">
        <v>452</v>
      </c>
      <c r="T58" s="5" t="n">
        <v>26</v>
      </c>
      <c r="U58" s="5" t="n">
        <v>7</v>
      </c>
      <c r="V58" s="5" t="s">
        <v>116</v>
      </c>
      <c r="W58" s="5" t="n">
        <v>1</v>
      </c>
      <c r="X58" s="6" t="n">
        <v>45446</v>
      </c>
      <c r="Y58" s="5" t="s">
        <v>80</v>
      </c>
      <c r="Z58" s="5" t="n">
        <v>3</v>
      </c>
      <c r="AA58" s="5" t="n">
        <v>1.5</v>
      </c>
      <c r="AB58" s="5" t="s">
        <v>104</v>
      </c>
      <c r="AC58" s="5" t="s">
        <v>106</v>
      </c>
      <c r="AD58" s="5" t="s">
        <v>78</v>
      </c>
      <c r="AE58" s="5"/>
      <c r="AF58" s="5" t="n">
        <v>2</v>
      </c>
      <c r="AG58" s="5" t="n">
        <v>2</v>
      </c>
      <c r="AH58" s="5"/>
      <c r="AI58" s="5" t="s">
        <v>79</v>
      </c>
      <c r="AJ58" s="5"/>
      <c r="AK58" s="5"/>
      <c r="AL58" s="5"/>
      <c r="AM58" s="5"/>
      <c r="AN58" s="5"/>
      <c r="AO58" s="5"/>
      <c r="AP58" s="5" t="s">
        <v>457</v>
      </c>
    </row>
    <row r="59" customFormat="false" ht="15" hidden="false" customHeight="true" outlineLevel="0" collapsed="false">
      <c r="A59" s="5" t="n">
        <v>53</v>
      </c>
      <c r="B59" s="5" t="s">
        <v>458</v>
      </c>
      <c r="C59" s="5" t="s">
        <v>459</v>
      </c>
      <c r="D59" s="5" t="s">
        <v>460</v>
      </c>
      <c r="E59" s="5" t="s">
        <v>461</v>
      </c>
      <c r="F59" s="5" t="n">
        <v>92</v>
      </c>
      <c r="G59" s="5" t="s">
        <v>217</v>
      </c>
      <c r="H59" s="5" t="n">
        <v>98775</v>
      </c>
      <c r="I59" s="5"/>
      <c r="J59" s="6" t="n">
        <v>45457</v>
      </c>
      <c r="K59" s="6" t="n">
        <v>45464</v>
      </c>
      <c r="L59" s="13" t="n">
        <f aca="false">K59-J59</f>
        <v>7</v>
      </c>
      <c r="M59" s="5" t="s">
        <v>50</v>
      </c>
      <c r="N59" s="5" t="s">
        <v>299</v>
      </c>
      <c r="O59" s="5" t="s">
        <v>201</v>
      </c>
      <c r="P59" s="5" t="n">
        <v>182</v>
      </c>
      <c r="Q59" s="5" t="n">
        <v>10</v>
      </c>
      <c r="R59" s="5" t="s">
        <v>105</v>
      </c>
      <c r="S59" s="5" t="s">
        <v>100</v>
      </c>
      <c r="T59" s="5" t="s">
        <v>178</v>
      </c>
      <c r="U59" s="5" t="n">
        <v>0</v>
      </c>
      <c r="V59" s="5" t="s">
        <v>169</v>
      </c>
      <c r="W59" s="5" t="n">
        <v>2</v>
      </c>
      <c r="X59" s="6" t="n">
        <v>45457</v>
      </c>
      <c r="Y59" s="5" t="s">
        <v>170</v>
      </c>
      <c r="Z59" s="5"/>
      <c r="AA59" s="5" t="s">
        <v>462</v>
      </c>
      <c r="AB59" s="5" t="s">
        <v>54</v>
      </c>
      <c r="AC59" s="5" t="s">
        <v>77</v>
      </c>
      <c r="AD59" s="5"/>
      <c r="AE59" s="5"/>
      <c r="AF59" s="5" t="n">
        <v>4</v>
      </c>
      <c r="AG59" s="5" t="n">
        <v>4</v>
      </c>
      <c r="AH59" s="5"/>
      <c r="AI59" s="5" t="s">
        <v>60</v>
      </c>
      <c r="AJ59" s="5" t="s">
        <v>77</v>
      </c>
      <c r="AK59" s="5"/>
      <c r="AL59" s="5" t="s">
        <v>61</v>
      </c>
      <c r="AM59" s="5"/>
      <c r="AN59" s="5"/>
      <c r="AO59" s="5"/>
      <c r="AP59" s="5" t="s">
        <v>463</v>
      </c>
    </row>
    <row r="60" customFormat="false" ht="15" hidden="false" customHeight="true" outlineLevel="0" collapsed="false">
      <c r="A60" s="5" t="n">
        <v>54</v>
      </c>
      <c r="B60" s="5" t="s">
        <v>464</v>
      </c>
      <c r="C60" s="5" t="n">
        <v>4166486</v>
      </c>
      <c r="D60" s="5" t="s">
        <v>465</v>
      </c>
      <c r="E60" s="6" t="n">
        <v>16464</v>
      </c>
      <c r="F60" s="5" t="n">
        <f aca="false">INT((J60-E60)/365.25)</f>
        <v>79</v>
      </c>
      <c r="G60" s="5" t="s">
        <v>67</v>
      </c>
      <c r="H60" s="5" t="n">
        <v>88078</v>
      </c>
      <c r="I60" s="5" t="s">
        <v>466</v>
      </c>
      <c r="J60" s="6" t="n">
        <v>45478</v>
      </c>
      <c r="K60" s="5" t="s">
        <v>467</v>
      </c>
      <c r="L60" s="5" t="s">
        <v>468</v>
      </c>
      <c r="M60" s="5" t="s">
        <v>80</v>
      </c>
      <c r="N60" s="5" t="s">
        <v>299</v>
      </c>
      <c r="O60" s="5" t="n">
        <v>1.4</v>
      </c>
      <c r="P60" s="5" t="n">
        <v>196000</v>
      </c>
      <c r="Q60" s="5" t="s">
        <v>139</v>
      </c>
      <c r="R60" s="5" t="n">
        <v>1</v>
      </c>
      <c r="S60" s="5" t="s">
        <v>371</v>
      </c>
      <c r="T60" s="5" t="n">
        <v>13</v>
      </c>
      <c r="U60" s="5" t="n">
        <v>10</v>
      </c>
      <c r="V60" s="5" t="s">
        <v>101</v>
      </c>
      <c r="W60" s="5" t="n">
        <v>1</v>
      </c>
      <c r="X60" s="6" t="n">
        <v>45481</v>
      </c>
      <c r="Y60" s="5" t="n">
        <v>1</v>
      </c>
      <c r="Z60" s="5" t="s">
        <v>90</v>
      </c>
      <c r="AA60" s="5" t="s">
        <v>469</v>
      </c>
      <c r="AB60" s="5" t="s">
        <v>71</v>
      </c>
      <c r="AC60" s="5" t="s">
        <v>106</v>
      </c>
      <c r="AD60" s="5"/>
      <c r="AE60" s="5"/>
      <c r="AF60" s="5" t="n">
        <v>1</v>
      </c>
      <c r="AG60" s="5" t="n">
        <v>1</v>
      </c>
      <c r="AH60" s="5" t="s">
        <v>130</v>
      </c>
      <c r="AI60" s="5" t="s">
        <v>60</v>
      </c>
      <c r="AJ60" s="5" t="s">
        <v>77</v>
      </c>
      <c r="AK60" s="5"/>
      <c r="AL60" s="5"/>
      <c r="AM60" s="5"/>
      <c r="AN60" s="5"/>
      <c r="AO60" s="5"/>
      <c r="AP60" s="5" t="s">
        <v>470</v>
      </c>
    </row>
    <row r="61" customFormat="false" ht="15" hidden="false" customHeight="true" outlineLevel="0" collapsed="false">
      <c r="A61" s="5" t="n">
        <v>55</v>
      </c>
      <c r="B61" s="5" t="s">
        <v>471</v>
      </c>
      <c r="C61" s="5" t="s">
        <v>472</v>
      </c>
      <c r="D61" s="5" t="s">
        <v>473</v>
      </c>
      <c r="E61" s="5" t="s">
        <v>474</v>
      </c>
      <c r="F61" s="5" t="n">
        <v>62</v>
      </c>
      <c r="G61" s="5" t="s">
        <v>183</v>
      </c>
      <c r="H61" s="5" t="n">
        <v>15797</v>
      </c>
      <c r="I61" s="5" t="s">
        <v>475</v>
      </c>
      <c r="J61" s="6" t="n">
        <v>45481</v>
      </c>
      <c r="K61" s="6" t="n">
        <v>45483</v>
      </c>
      <c r="L61" s="13" t="n">
        <f aca="false">K61-J61</f>
        <v>2</v>
      </c>
      <c r="M61" s="5" t="s">
        <v>77</v>
      </c>
      <c r="N61" s="5" t="s">
        <v>165</v>
      </c>
      <c r="O61" s="5" t="n">
        <v>1.2</v>
      </c>
      <c r="P61" s="5" t="n">
        <v>257</v>
      </c>
      <c r="Q61" s="5" t="n">
        <v>14</v>
      </c>
      <c r="R61" s="5" t="n">
        <v>4</v>
      </c>
      <c r="S61" s="5" t="s">
        <v>452</v>
      </c>
      <c r="T61" s="5" t="n">
        <v>10</v>
      </c>
      <c r="U61" s="5" t="n">
        <v>14</v>
      </c>
      <c r="V61" s="5" t="s">
        <v>87</v>
      </c>
      <c r="W61" s="5" t="s">
        <v>433</v>
      </c>
      <c r="X61" s="6" t="n">
        <v>45481</v>
      </c>
      <c r="Y61" s="5" t="n">
        <v>1</v>
      </c>
      <c r="Z61" s="5" t="s">
        <v>90</v>
      </c>
      <c r="AA61" s="5" t="n">
        <v>1.43</v>
      </c>
      <c r="AB61" s="5" t="s">
        <v>205</v>
      </c>
      <c r="AC61" s="5" t="s">
        <v>106</v>
      </c>
      <c r="AD61" s="5"/>
      <c r="AE61" s="5"/>
      <c r="AF61" s="5" t="n">
        <v>2</v>
      </c>
      <c r="AG61" s="5" t="n">
        <v>2</v>
      </c>
      <c r="AH61" s="5" t="s">
        <v>94</v>
      </c>
      <c r="AI61" s="5" t="s">
        <v>79</v>
      </c>
      <c r="AJ61" s="5" t="s">
        <v>77</v>
      </c>
      <c r="AK61" s="5"/>
      <c r="AL61" s="5"/>
      <c r="AM61" s="5" t="s">
        <v>62</v>
      </c>
      <c r="AN61" s="5" t="s">
        <v>121</v>
      </c>
      <c r="AO61" s="5"/>
      <c r="AP61" s="5" t="s">
        <v>132</v>
      </c>
    </row>
    <row r="62" customFormat="false" ht="15" hidden="false" customHeight="true" outlineLevel="0" collapsed="false">
      <c r="A62" s="5" t="n">
        <v>56</v>
      </c>
      <c r="B62" s="5" t="n">
        <v>25</v>
      </c>
      <c r="C62" s="5" t="s">
        <v>476</v>
      </c>
      <c r="D62" s="5" t="s">
        <v>477</v>
      </c>
      <c r="E62" s="6" t="n">
        <v>12187</v>
      </c>
      <c r="F62" s="5" t="n">
        <f aca="false">INT((J62-E62)/365.25)</f>
        <v>91</v>
      </c>
      <c r="G62" s="5" t="s">
        <v>67</v>
      </c>
      <c r="H62" s="5" t="n">
        <v>38187</v>
      </c>
      <c r="I62" s="5" t="s">
        <v>478</v>
      </c>
      <c r="J62" s="6" t="n">
        <v>45521</v>
      </c>
      <c r="K62" s="6" t="n">
        <v>45530</v>
      </c>
      <c r="L62" s="13" t="n">
        <f aca="false">K62-J62</f>
        <v>9</v>
      </c>
      <c r="M62" s="5" t="s">
        <v>80</v>
      </c>
      <c r="N62" s="5" t="s">
        <v>71</v>
      </c>
      <c r="O62" s="5" t="n">
        <v>1.2</v>
      </c>
      <c r="P62" s="5" t="n">
        <v>385</v>
      </c>
      <c r="Q62" s="5" t="n">
        <v>14</v>
      </c>
      <c r="R62" s="5" t="s">
        <v>150</v>
      </c>
      <c r="S62" s="5" t="s">
        <v>53</v>
      </c>
      <c r="T62" s="5" t="n">
        <v>29</v>
      </c>
      <c r="U62" s="5" t="s">
        <v>54</v>
      </c>
      <c r="V62" s="5" t="s">
        <v>116</v>
      </c>
      <c r="W62" s="5" t="n">
        <v>1</v>
      </c>
      <c r="X62" s="6" t="n">
        <v>45522</v>
      </c>
      <c r="Y62" s="5" t="s">
        <v>50</v>
      </c>
      <c r="Z62" s="5" t="s">
        <v>195</v>
      </c>
      <c r="AA62" s="5" t="n">
        <v>54</v>
      </c>
      <c r="AB62" s="5" t="s">
        <v>71</v>
      </c>
      <c r="AC62" s="5" t="s">
        <v>77</v>
      </c>
      <c r="AD62" s="5" t="s">
        <v>77</v>
      </c>
      <c r="AE62" s="5"/>
      <c r="AF62" s="5" t="n">
        <v>0</v>
      </c>
      <c r="AG62" s="5" t="n">
        <v>1</v>
      </c>
      <c r="AH62" s="5"/>
      <c r="AI62" s="5" t="s">
        <v>60</v>
      </c>
      <c r="AJ62" s="5"/>
      <c r="AK62" s="5"/>
      <c r="AL62" s="5" t="s">
        <v>120</v>
      </c>
      <c r="AM62" s="5"/>
      <c r="AN62" s="5"/>
      <c r="AO62" s="5"/>
      <c r="AP62" s="5" t="s">
        <v>479</v>
      </c>
    </row>
    <row r="63" customFormat="false" ht="15" hidden="false" customHeight="true" outlineLevel="0" collapsed="false">
      <c r="A63" s="17" t="n">
        <v>57</v>
      </c>
      <c r="B63" s="17" t="s">
        <v>480</v>
      </c>
      <c r="C63" s="17" t="n">
        <v>4103813</v>
      </c>
      <c r="D63" s="17" t="s">
        <v>481</v>
      </c>
      <c r="E63" s="17" t="n">
        <v>19065</v>
      </c>
      <c r="F63" s="17" t="n">
        <v>72</v>
      </c>
      <c r="G63" s="17" t="s">
        <v>48</v>
      </c>
      <c r="H63" s="17" t="s">
        <v>482</v>
      </c>
      <c r="I63" s="17"/>
      <c r="J63" s="18" t="n">
        <v>45534</v>
      </c>
      <c r="K63" s="18" t="n">
        <v>45550</v>
      </c>
      <c r="L63" s="19" t="n">
        <f aca="false">K63-J63</f>
        <v>16</v>
      </c>
      <c r="M63" s="17" t="s">
        <v>77</v>
      </c>
      <c r="N63" s="17" t="s">
        <v>165</v>
      </c>
      <c r="O63" s="17" t="n">
        <v>1.3</v>
      </c>
      <c r="P63" s="17" t="s">
        <v>483</v>
      </c>
      <c r="Q63" s="17" t="n">
        <v>14</v>
      </c>
      <c r="R63" s="17" t="n">
        <v>3</v>
      </c>
      <c r="S63" s="17" t="s">
        <v>73</v>
      </c>
      <c r="T63" s="17" t="s">
        <v>484</v>
      </c>
      <c r="U63" s="17" t="n">
        <v>6</v>
      </c>
      <c r="V63" s="17" t="s">
        <v>194</v>
      </c>
      <c r="W63" s="17" t="s">
        <v>485</v>
      </c>
      <c r="X63" s="18" t="n">
        <v>45536</v>
      </c>
      <c r="Y63" s="17" t="s">
        <v>170</v>
      </c>
      <c r="Z63" s="17"/>
      <c r="AA63" s="17" t="s">
        <v>486</v>
      </c>
      <c r="AB63" s="17" t="s">
        <v>54</v>
      </c>
      <c r="AC63" s="17" t="s">
        <v>105</v>
      </c>
      <c r="AD63" s="17"/>
      <c r="AE63" s="17"/>
      <c r="AF63" s="17" t="n">
        <v>3</v>
      </c>
      <c r="AG63" s="17" t="n">
        <v>4</v>
      </c>
      <c r="AH63" s="17"/>
      <c r="AI63" s="17" t="s">
        <v>305</v>
      </c>
      <c r="AJ63" s="17" t="s">
        <v>106</v>
      </c>
      <c r="AK63" s="17"/>
      <c r="AL63" s="17" t="s">
        <v>144</v>
      </c>
      <c r="AM63" s="5" t="s">
        <v>62</v>
      </c>
      <c r="AN63" s="5"/>
      <c r="AO63" s="5"/>
      <c r="AP63" s="5" t="s">
        <v>487</v>
      </c>
    </row>
    <row r="64" customFormat="false" ht="15" hidden="false" customHeight="true" outlineLevel="0" collapsed="false">
      <c r="A64" s="5" t="n">
        <v>58</v>
      </c>
      <c r="B64" s="5" t="s">
        <v>488</v>
      </c>
      <c r="C64" s="5" t="s">
        <v>472</v>
      </c>
      <c r="D64" s="5" t="s">
        <v>489</v>
      </c>
      <c r="E64" s="6" t="n">
        <v>22747</v>
      </c>
      <c r="F64" s="5" t="n">
        <f aca="false">INT((J64-E64)/365.25)</f>
        <v>62</v>
      </c>
      <c r="G64" s="5" t="s">
        <v>183</v>
      </c>
      <c r="H64" s="5" t="s">
        <v>490</v>
      </c>
      <c r="I64" s="5" t="s">
        <v>491</v>
      </c>
      <c r="J64" s="6" t="n">
        <v>45542</v>
      </c>
      <c r="K64" s="5" t="s">
        <v>492</v>
      </c>
      <c r="L64" s="5" t="n">
        <v>4</v>
      </c>
      <c r="M64" s="5" t="s">
        <v>50</v>
      </c>
      <c r="N64" s="5" t="s">
        <v>88</v>
      </c>
      <c r="O64" s="5" t="n">
        <v>1.4</v>
      </c>
      <c r="P64" s="5" t="n">
        <v>143</v>
      </c>
      <c r="Q64" s="5" t="n">
        <v>15</v>
      </c>
      <c r="R64" s="5" t="n">
        <v>3</v>
      </c>
      <c r="S64" s="5" t="s">
        <v>53</v>
      </c>
      <c r="T64" s="5" t="s">
        <v>493</v>
      </c>
      <c r="U64" s="5" t="n">
        <v>2</v>
      </c>
      <c r="V64" s="5" t="s">
        <v>116</v>
      </c>
      <c r="W64" s="5" t="n">
        <v>1</v>
      </c>
      <c r="X64" s="5" t="s">
        <v>494</v>
      </c>
      <c r="Y64" s="5" t="n">
        <v>1</v>
      </c>
      <c r="Z64" s="5" t="n">
        <v>3</v>
      </c>
      <c r="AA64" s="5" t="s">
        <v>495</v>
      </c>
      <c r="AB64" s="5" t="s">
        <v>118</v>
      </c>
      <c r="AC64" s="5"/>
      <c r="AD64" s="5"/>
      <c r="AE64" s="5"/>
      <c r="AF64" s="5" t="s">
        <v>171</v>
      </c>
      <c r="AG64" s="5" t="n">
        <v>2</v>
      </c>
      <c r="AH64" s="5" t="n">
        <v>2</v>
      </c>
      <c r="AI64" s="5"/>
      <c r="AJ64" s="5" t="s">
        <v>77</v>
      </c>
      <c r="AK64" s="5"/>
      <c r="AL64" s="5"/>
      <c r="AM64" s="5"/>
      <c r="AN64" s="5"/>
      <c r="AO64" s="5"/>
      <c r="AP64" s="5" t="s">
        <v>132</v>
      </c>
    </row>
    <row r="65" customFormat="false" ht="15" hidden="false" customHeight="true" outlineLevel="0" collapsed="false">
      <c r="A65" s="5" t="n">
        <v>59</v>
      </c>
      <c r="B65" s="5" t="s">
        <v>496</v>
      </c>
      <c r="C65" s="5" t="n">
        <v>4306311</v>
      </c>
      <c r="D65" s="5" t="s">
        <v>497</v>
      </c>
      <c r="E65" s="6" t="n">
        <v>14266</v>
      </c>
      <c r="F65" s="5" t="s">
        <v>498</v>
      </c>
      <c r="G65" s="5" t="s">
        <v>84</v>
      </c>
      <c r="H65" s="5" t="n">
        <v>40701</v>
      </c>
      <c r="I65" s="5"/>
      <c r="J65" s="5" t="s">
        <v>499</v>
      </c>
      <c r="K65" s="6" t="n">
        <v>45573</v>
      </c>
      <c r="L65" s="5" t="n">
        <v>3</v>
      </c>
      <c r="M65" s="5" t="s">
        <v>77</v>
      </c>
      <c r="N65" s="5" t="s">
        <v>219</v>
      </c>
      <c r="O65" s="5" t="n">
        <v>3.4</v>
      </c>
      <c r="P65" s="5" t="s">
        <v>72</v>
      </c>
      <c r="Q65" s="5" t="s">
        <v>139</v>
      </c>
      <c r="R65" s="5" t="s">
        <v>52</v>
      </c>
      <c r="S65" s="5" t="s">
        <v>100</v>
      </c>
      <c r="T65" s="5" t="n">
        <v>16</v>
      </c>
      <c r="U65" s="5" t="n">
        <v>14</v>
      </c>
      <c r="V65" s="5" t="s">
        <v>87</v>
      </c>
      <c r="W65" s="5" t="s">
        <v>56</v>
      </c>
      <c r="X65" s="5" t="n">
        <v>45570</v>
      </c>
      <c r="Y65" s="5" t="s">
        <v>153</v>
      </c>
      <c r="Z65" s="5" t="n">
        <v>2</v>
      </c>
      <c r="AA65" s="5" t="s">
        <v>500</v>
      </c>
      <c r="AB65" s="5" t="s">
        <v>304</v>
      </c>
      <c r="AC65" s="5" t="s">
        <v>105</v>
      </c>
      <c r="AD65" s="5"/>
      <c r="AE65" s="5"/>
      <c r="AF65" s="5" t="n">
        <v>3</v>
      </c>
      <c r="AG65" s="5" t="n">
        <v>3</v>
      </c>
      <c r="AH65" s="5" t="n">
        <v>3</v>
      </c>
      <c r="AI65" s="5" t="s">
        <v>305</v>
      </c>
      <c r="AJ65" s="5" t="s">
        <v>106</v>
      </c>
      <c r="AK65" s="5"/>
      <c r="AL65" s="5" t="s">
        <v>107</v>
      </c>
      <c r="AM65" s="5"/>
      <c r="AN65" s="5"/>
      <c r="AO65" s="5"/>
      <c r="AP65" s="5" t="s">
        <v>501</v>
      </c>
    </row>
    <row r="66" customFormat="false" ht="15" hidden="false" customHeight="true" outlineLevel="0" collapsed="false">
      <c r="A66" s="5" t="n">
        <v>60</v>
      </c>
      <c r="B66" s="5" t="s">
        <v>502</v>
      </c>
      <c r="C66" s="5" t="n">
        <v>4480603</v>
      </c>
      <c r="D66" s="5" t="s">
        <v>503</v>
      </c>
      <c r="E66" s="5" t="s">
        <v>504</v>
      </c>
      <c r="F66" s="5" t="n">
        <v>67</v>
      </c>
      <c r="G66" s="5" t="s">
        <v>48</v>
      </c>
      <c r="H66" s="5" t="n">
        <v>83133</v>
      </c>
      <c r="I66" s="5"/>
      <c r="J66" s="5" t="s">
        <v>505</v>
      </c>
      <c r="K66" s="5" t="s">
        <v>506</v>
      </c>
      <c r="L66" s="5" t="n">
        <v>15</v>
      </c>
      <c r="M66" s="5" t="s">
        <v>87</v>
      </c>
      <c r="N66" s="5"/>
      <c r="O66" s="5" t="n">
        <v>1.2</v>
      </c>
      <c r="P66" s="5" t="s">
        <v>507</v>
      </c>
      <c r="Q66" s="5" t="n">
        <v>15</v>
      </c>
      <c r="R66" s="5" t="n">
        <v>0</v>
      </c>
      <c r="S66" s="5" t="s">
        <v>73</v>
      </c>
      <c r="T66" s="5" t="n">
        <v>31</v>
      </c>
      <c r="U66" s="5" t="n">
        <v>1</v>
      </c>
      <c r="V66" s="5" t="s">
        <v>87</v>
      </c>
      <c r="W66" s="5" t="n">
        <v>2</v>
      </c>
      <c r="X66" s="6" t="n">
        <v>45574</v>
      </c>
      <c r="Y66" s="5" t="s">
        <v>305</v>
      </c>
      <c r="Z66" s="5"/>
      <c r="AA66" s="5" t="n">
        <v>97</v>
      </c>
      <c r="AB66" s="5" t="s">
        <v>71</v>
      </c>
      <c r="AC66" s="5" t="s">
        <v>80</v>
      </c>
      <c r="AD66" s="5" t="s">
        <v>50</v>
      </c>
      <c r="AE66" s="5" t="s">
        <v>508</v>
      </c>
      <c r="AF66" s="5" t="n">
        <v>2</v>
      </c>
      <c r="AG66" s="5" t="n">
        <v>3</v>
      </c>
      <c r="AH66" s="5" t="s">
        <v>130</v>
      </c>
      <c r="AI66" s="5" t="s">
        <v>60</v>
      </c>
      <c r="AJ66" s="5" t="s">
        <v>77</v>
      </c>
      <c r="AK66" s="5"/>
      <c r="AL66" s="5" t="s">
        <v>120</v>
      </c>
      <c r="AM66" s="5"/>
      <c r="AN66" s="5"/>
      <c r="AO66" s="5"/>
      <c r="AP66" s="5" t="s">
        <v>509</v>
      </c>
    </row>
    <row r="67" customFormat="false" ht="15" hidden="false" customHeight="true" outlineLevel="0" collapsed="false">
      <c r="A67" s="7" t="n">
        <v>61</v>
      </c>
      <c r="B67" s="7" t="n">
        <v>2</v>
      </c>
      <c r="C67" s="7" t="n">
        <v>4658467</v>
      </c>
      <c r="D67" s="7" t="s">
        <v>510</v>
      </c>
      <c r="E67" s="8" t="n">
        <v>22860</v>
      </c>
      <c r="F67" s="7" t="n">
        <f aca="false">INT((J67-E67)/365.25)</f>
        <v>62</v>
      </c>
      <c r="G67" s="7" t="s">
        <v>67</v>
      </c>
      <c r="H67" s="7" t="n">
        <v>33484</v>
      </c>
      <c r="I67" s="7" t="s">
        <v>511</v>
      </c>
      <c r="J67" s="8" t="n">
        <v>45576</v>
      </c>
      <c r="K67" s="8" t="n">
        <v>45589</v>
      </c>
      <c r="L67" s="9" t="n">
        <f aca="false">K67-J67</f>
        <v>13</v>
      </c>
      <c r="M67" s="7" t="s">
        <v>77</v>
      </c>
      <c r="N67" s="7" t="s">
        <v>114</v>
      </c>
      <c r="O67" s="7" t="n">
        <v>1.1</v>
      </c>
      <c r="P67" s="7" t="n">
        <v>371</v>
      </c>
      <c r="Q67" s="7" t="n">
        <v>15</v>
      </c>
      <c r="R67" s="7" t="s">
        <v>90</v>
      </c>
      <c r="S67" s="7" t="s">
        <v>73</v>
      </c>
      <c r="T67" s="7" t="n">
        <v>26</v>
      </c>
      <c r="U67" s="7" t="n">
        <v>14</v>
      </c>
      <c r="V67" s="7" t="s">
        <v>87</v>
      </c>
      <c r="W67" s="7" t="n">
        <v>1</v>
      </c>
      <c r="X67" s="8" t="n">
        <v>45577</v>
      </c>
      <c r="Y67" s="7" t="n">
        <v>1</v>
      </c>
      <c r="Z67" s="7" t="n">
        <v>2</v>
      </c>
      <c r="AA67" s="7" t="n">
        <v>1.72</v>
      </c>
      <c r="AB67" s="7" t="s">
        <v>71</v>
      </c>
      <c r="AC67" s="7" t="s">
        <v>50</v>
      </c>
      <c r="AD67" s="7" t="s">
        <v>50</v>
      </c>
      <c r="AE67" s="8" t="n">
        <v>45619</v>
      </c>
      <c r="AF67" s="7" t="n">
        <v>1</v>
      </c>
      <c r="AG67" s="7" t="n">
        <v>2</v>
      </c>
      <c r="AH67" s="7" t="n">
        <v>0</v>
      </c>
      <c r="AI67" s="7" t="s">
        <v>60</v>
      </c>
      <c r="AJ67" s="7"/>
      <c r="AK67" s="7"/>
      <c r="AL67" s="7" t="s">
        <v>144</v>
      </c>
      <c r="AM67" s="5"/>
      <c r="AN67" s="5"/>
      <c r="AO67" s="5"/>
      <c r="AP67" s="5" t="s">
        <v>257</v>
      </c>
    </row>
    <row r="68" customFormat="false" ht="15" hidden="false" customHeight="true" outlineLevel="0" collapsed="false">
      <c r="A68" s="5" t="n">
        <v>62</v>
      </c>
      <c r="B68" s="5" t="s">
        <v>512</v>
      </c>
      <c r="C68" s="5" t="n">
        <v>4481313</v>
      </c>
      <c r="D68" s="5" t="s">
        <v>513</v>
      </c>
      <c r="E68" s="6" t="n">
        <v>15133</v>
      </c>
      <c r="F68" s="5" t="n">
        <f aca="false">INT((J68-E68)/365.25)</f>
        <v>83</v>
      </c>
      <c r="G68" s="5" t="s">
        <v>48</v>
      </c>
      <c r="H68" s="5" t="n">
        <v>56375</v>
      </c>
      <c r="I68" s="5"/>
      <c r="J68" s="6" t="n">
        <v>45616</v>
      </c>
      <c r="K68" s="6" t="n">
        <v>45628</v>
      </c>
      <c r="L68" s="13" t="n">
        <f aca="false">K68-J68</f>
        <v>12</v>
      </c>
      <c r="M68" s="5" t="s">
        <v>50</v>
      </c>
      <c r="N68" s="5" t="s">
        <v>219</v>
      </c>
      <c r="O68" s="5" t="s">
        <v>514</v>
      </c>
      <c r="P68" s="5" t="n">
        <v>244000</v>
      </c>
      <c r="Q68" s="5" t="n">
        <v>15</v>
      </c>
      <c r="R68" s="5" t="n">
        <v>2</v>
      </c>
      <c r="S68" s="5" t="s">
        <v>91</v>
      </c>
      <c r="T68" s="5" t="n">
        <v>20</v>
      </c>
      <c r="U68" s="5" t="n">
        <v>5</v>
      </c>
      <c r="V68" s="5" t="s">
        <v>101</v>
      </c>
      <c r="W68" s="5" t="n">
        <v>3</v>
      </c>
      <c r="X68" s="6" t="n">
        <v>45618</v>
      </c>
      <c r="Y68" s="5" t="n">
        <v>1</v>
      </c>
      <c r="Z68" s="5" t="n">
        <v>3</v>
      </c>
      <c r="AA68" s="5" t="n">
        <v>64</v>
      </c>
      <c r="AB68" s="5" t="s">
        <v>104</v>
      </c>
      <c r="AC68" s="5" t="s">
        <v>80</v>
      </c>
      <c r="AD68" s="5" t="s">
        <v>78</v>
      </c>
      <c r="AE68" s="5"/>
      <c r="AF68" s="5" t="n">
        <v>5</v>
      </c>
      <c r="AG68" s="5" t="n">
        <v>4</v>
      </c>
      <c r="AH68" s="5" t="n">
        <v>5</v>
      </c>
      <c r="AI68" s="5" t="s">
        <v>79</v>
      </c>
      <c r="AJ68" s="5" t="s">
        <v>106</v>
      </c>
      <c r="AK68" s="5"/>
      <c r="AL68" s="5" t="s">
        <v>107</v>
      </c>
      <c r="AM68" s="5"/>
      <c r="AN68" s="5"/>
      <c r="AO68" s="5"/>
      <c r="AP68" s="5" t="s">
        <v>515</v>
      </c>
    </row>
    <row r="69" customFormat="false" ht="15" hidden="false" customHeight="true" outlineLevel="0" collapsed="false">
      <c r="A69" s="7" t="n">
        <v>63</v>
      </c>
      <c r="B69" s="7" t="s">
        <v>516</v>
      </c>
      <c r="C69" s="7" t="n">
        <v>4262739</v>
      </c>
      <c r="D69" s="7" t="s">
        <v>517</v>
      </c>
      <c r="E69" s="8" t="n">
        <v>14362</v>
      </c>
      <c r="F69" s="7" t="n">
        <f aca="false">INT((J69-E69)/365.25)</f>
        <v>85</v>
      </c>
      <c r="G69" s="7" t="s">
        <v>48</v>
      </c>
      <c r="H69" s="7" t="n">
        <v>32167</v>
      </c>
      <c r="I69" s="7"/>
      <c r="J69" s="8" t="n">
        <v>45632</v>
      </c>
      <c r="K69" s="8" t="n">
        <v>45650</v>
      </c>
      <c r="L69" s="9" t="n">
        <f aca="false">K69-J69</f>
        <v>18</v>
      </c>
      <c r="M69" s="7" t="s">
        <v>77</v>
      </c>
      <c r="N69" s="7" t="s">
        <v>54</v>
      </c>
      <c r="O69" s="7" t="n">
        <v>1.1</v>
      </c>
      <c r="P69" s="7" t="n">
        <v>145000</v>
      </c>
      <c r="Q69" s="7" t="n">
        <v>15</v>
      </c>
      <c r="R69" s="7" t="s">
        <v>150</v>
      </c>
      <c r="S69" s="7" t="s">
        <v>115</v>
      </c>
      <c r="T69" s="7" t="s">
        <v>518</v>
      </c>
      <c r="U69" s="7" t="n">
        <v>8</v>
      </c>
      <c r="V69" s="7" t="s">
        <v>169</v>
      </c>
      <c r="W69" s="7" t="s">
        <v>56</v>
      </c>
      <c r="X69" s="8" t="n">
        <v>45634</v>
      </c>
      <c r="Y69" s="7" t="s">
        <v>57</v>
      </c>
      <c r="Z69" s="7" t="s">
        <v>204</v>
      </c>
      <c r="AA69" s="7" t="n">
        <v>140</v>
      </c>
      <c r="AB69" s="7" t="s">
        <v>143</v>
      </c>
      <c r="AC69" s="7" t="s">
        <v>77</v>
      </c>
      <c r="AD69" s="7" t="s">
        <v>77</v>
      </c>
      <c r="AE69" s="7"/>
      <c r="AF69" s="7" t="n">
        <v>4</v>
      </c>
      <c r="AG69" s="7" t="n">
        <v>4</v>
      </c>
      <c r="AH69" s="7" t="n">
        <v>4</v>
      </c>
      <c r="AI69" s="7" t="s">
        <v>60</v>
      </c>
      <c r="AJ69" s="7" t="s">
        <v>77</v>
      </c>
      <c r="AK69" s="7"/>
      <c r="AL69" s="7" t="s">
        <v>107</v>
      </c>
      <c r="AM69" s="5"/>
      <c r="AN69" s="5"/>
      <c r="AO69" s="5"/>
      <c r="AP69" s="5" t="s">
        <v>519</v>
      </c>
    </row>
    <row r="70" customFormat="false" ht="15" hidden="false" customHeight="true" outlineLevel="0" collapsed="false">
      <c r="A70" s="5" t="n">
        <v>64</v>
      </c>
      <c r="B70" s="5" t="s">
        <v>520</v>
      </c>
      <c r="C70" s="5" t="n">
        <v>4446951</v>
      </c>
      <c r="D70" s="5" t="s">
        <v>521</v>
      </c>
      <c r="E70" s="6" t="n">
        <v>13749</v>
      </c>
      <c r="F70" s="5" t="n">
        <f aca="false">INT((J70-E70)/365.25)</f>
        <v>87</v>
      </c>
      <c r="G70" s="5" t="s">
        <v>67</v>
      </c>
      <c r="H70" s="5" t="s">
        <v>522</v>
      </c>
      <c r="I70" s="5"/>
      <c r="J70" s="6" t="n">
        <v>45639</v>
      </c>
      <c r="K70" s="6" t="n">
        <v>45658</v>
      </c>
      <c r="L70" s="13" t="n">
        <f aca="false">K70-J70</f>
        <v>19</v>
      </c>
      <c r="M70" s="5" t="s">
        <v>87</v>
      </c>
      <c r="N70" s="5" t="s">
        <v>71</v>
      </c>
      <c r="O70" s="5" t="s">
        <v>523</v>
      </c>
      <c r="P70" s="5" t="s">
        <v>524</v>
      </c>
      <c r="Q70" s="5" t="n">
        <v>12</v>
      </c>
      <c r="R70" s="5" t="n">
        <v>2</v>
      </c>
      <c r="S70" s="5" t="s">
        <v>73</v>
      </c>
      <c r="T70" s="5" t="n">
        <v>24</v>
      </c>
      <c r="U70" s="5" t="n">
        <v>12</v>
      </c>
      <c r="V70" s="5" t="s">
        <v>55</v>
      </c>
      <c r="W70" s="5" t="s">
        <v>485</v>
      </c>
      <c r="X70" s="5" t="s">
        <v>525</v>
      </c>
      <c r="Y70" s="5" t="s">
        <v>57</v>
      </c>
      <c r="Z70" s="5" t="n">
        <v>2</v>
      </c>
      <c r="AA70" s="5" t="s">
        <v>526</v>
      </c>
      <c r="AB70" s="5" t="s">
        <v>104</v>
      </c>
      <c r="AC70" s="5" t="s">
        <v>105</v>
      </c>
      <c r="AD70" s="5" t="s">
        <v>77</v>
      </c>
      <c r="AE70" s="5"/>
      <c r="AF70" s="5" t="s">
        <v>407</v>
      </c>
      <c r="AG70" s="5" t="n">
        <v>2</v>
      </c>
      <c r="AH70" s="5" t="n">
        <v>1</v>
      </c>
      <c r="AI70" s="5"/>
      <c r="AJ70" s="5" t="s">
        <v>77</v>
      </c>
      <c r="AK70" s="5"/>
      <c r="AL70" s="5" t="s">
        <v>131</v>
      </c>
      <c r="AM70" s="5"/>
      <c r="AN70" s="5"/>
      <c r="AO70" s="5"/>
      <c r="AP70" s="5" t="s">
        <v>527</v>
      </c>
    </row>
    <row r="71" customFormat="false" ht="15" hidden="false" customHeight="true" outlineLevel="0" collapsed="false">
      <c r="A71" s="5" t="n">
        <v>65</v>
      </c>
      <c r="B71" s="5" t="s">
        <v>528</v>
      </c>
      <c r="C71" s="5" t="n">
        <v>4993241</v>
      </c>
      <c r="D71" s="5" t="s">
        <v>529</v>
      </c>
      <c r="E71" s="6" t="n">
        <v>16855</v>
      </c>
      <c r="F71" s="5" t="n">
        <f aca="false">INT((J71-E71)/365.25)</f>
        <v>78</v>
      </c>
      <c r="G71" s="5" t="s">
        <v>217</v>
      </c>
      <c r="H71" s="5" t="n">
        <v>89729</v>
      </c>
      <c r="I71" s="5"/>
      <c r="J71" s="6" t="n">
        <v>45655</v>
      </c>
      <c r="K71" s="6" t="n">
        <v>45671</v>
      </c>
      <c r="L71" s="13" t="n">
        <f aca="false">K71-J71</f>
        <v>16</v>
      </c>
      <c r="M71" s="5" t="s">
        <v>77</v>
      </c>
      <c r="N71" s="5" t="s">
        <v>253</v>
      </c>
      <c r="O71" s="5" t="n">
        <v>1.2</v>
      </c>
      <c r="P71" s="5" t="s">
        <v>530</v>
      </c>
      <c r="Q71" s="5" t="n">
        <v>12</v>
      </c>
      <c r="R71" s="5" t="n">
        <v>0</v>
      </c>
      <c r="S71" s="5" t="s">
        <v>452</v>
      </c>
      <c r="T71" s="5" t="s">
        <v>531</v>
      </c>
      <c r="U71" s="5" t="n">
        <v>3</v>
      </c>
      <c r="V71" s="5" t="s">
        <v>74</v>
      </c>
      <c r="W71" s="5" t="n">
        <v>1</v>
      </c>
      <c r="X71" s="6" t="n">
        <v>45657</v>
      </c>
      <c r="Y71" s="5" t="s">
        <v>77</v>
      </c>
      <c r="Z71" s="5"/>
      <c r="AA71" s="5" t="s">
        <v>532</v>
      </c>
      <c r="AB71" s="5" t="s">
        <v>188</v>
      </c>
      <c r="AC71" s="5" t="s">
        <v>153</v>
      </c>
      <c r="AD71" s="5" t="s">
        <v>80</v>
      </c>
      <c r="AE71" s="5" t="s">
        <v>533</v>
      </c>
      <c r="AF71" s="5" t="n">
        <v>2</v>
      </c>
      <c r="AG71" s="5" t="n">
        <v>2</v>
      </c>
      <c r="AH71" s="5" t="n">
        <v>2</v>
      </c>
      <c r="AI71" s="5" t="s">
        <v>79</v>
      </c>
      <c r="AJ71" s="5"/>
      <c r="AK71" s="5"/>
      <c r="AL71" s="5"/>
      <c r="AM71" s="5" t="s">
        <v>62</v>
      </c>
      <c r="AN71" s="5"/>
      <c r="AO71" s="5"/>
      <c r="AP71" s="5" t="s">
        <v>534</v>
      </c>
    </row>
    <row r="72" customFormat="false" ht="15" hidden="false" customHeight="true" outlineLevel="0" collapsed="false">
      <c r="A72" s="5" t="n">
        <v>66</v>
      </c>
      <c r="B72" s="5" t="s">
        <v>535</v>
      </c>
      <c r="C72" s="5" t="s">
        <v>536</v>
      </c>
      <c r="D72" s="5" t="s">
        <v>242</v>
      </c>
      <c r="E72" s="6" t="n">
        <v>11387</v>
      </c>
      <c r="F72" s="5" t="n">
        <v>93</v>
      </c>
      <c r="G72" s="5" t="s">
        <v>67</v>
      </c>
      <c r="H72" s="5" t="n">
        <v>13559</v>
      </c>
      <c r="I72" s="5"/>
      <c r="J72" s="5" t="s">
        <v>537</v>
      </c>
      <c r="K72" s="6" t="n">
        <v>45668</v>
      </c>
      <c r="L72" s="5" t="n">
        <v>4</v>
      </c>
      <c r="M72" s="5" t="s">
        <v>70</v>
      </c>
      <c r="N72" s="5"/>
      <c r="O72" s="5" t="n">
        <v>1</v>
      </c>
      <c r="P72" s="5" t="n">
        <v>169000</v>
      </c>
      <c r="Q72" s="5" t="n">
        <v>14</v>
      </c>
      <c r="R72" s="5" t="s">
        <v>105</v>
      </c>
      <c r="S72" s="5" t="s">
        <v>151</v>
      </c>
      <c r="T72" s="5" t="n">
        <v>9</v>
      </c>
      <c r="U72" s="5" t="n">
        <v>0</v>
      </c>
      <c r="V72" s="5" t="s">
        <v>101</v>
      </c>
      <c r="W72" s="5" t="n">
        <v>1</v>
      </c>
      <c r="X72" s="6" t="n">
        <v>45665</v>
      </c>
      <c r="Y72" s="5" t="s">
        <v>50</v>
      </c>
      <c r="Z72" s="5" t="s">
        <v>90</v>
      </c>
      <c r="AA72" s="5" t="n">
        <v>86</v>
      </c>
      <c r="AB72" s="5"/>
      <c r="AC72" s="5" t="s">
        <v>80</v>
      </c>
      <c r="AD72" s="5" t="s">
        <v>78</v>
      </c>
      <c r="AE72" s="5"/>
      <c r="AF72" s="5" t="n">
        <v>4</v>
      </c>
      <c r="AG72" s="5" t="n">
        <v>4</v>
      </c>
      <c r="AH72" s="5" t="n">
        <v>3</v>
      </c>
      <c r="AI72" s="5" t="s">
        <v>60</v>
      </c>
      <c r="AJ72" s="5" t="s">
        <v>77</v>
      </c>
      <c r="AK72" s="5"/>
      <c r="AL72" s="5"/>
      <c r="AM72" s="5"/>
      <c r="AN72" s="5"/>
      <c r="AO72" s="5"/>
      <c r="AP72" s="5" t="s">
        <v>538</v>
      </c>
    </row>
    <row r="73" customFormat="false" ht="15" hidden="false" customHeight="true" outlineLevel="0" collapsed="false">
      <c r="A73" s="5" t="n">
        <v>67</v>
      </c>
      <c r="B73" s="5" t="s">
        <v>539</v>
      </c>
      <c r="C73" s="5" t="n">
        <v>4006586</v>
      </c>
      <c r="D73" s="5" t="s">
        <v>540</v>
      </c>
      <c r="E73" s="5" t="s">
        <v>541</v>
      </c>
      <c r="F73" s="5" t="n">
        <v>77</v>
      </c>
      <c r="G73" s="5" t="s">
        <v>217</v>
      </c>
      <c r="H73" s="5" t="n">
        <v>65596</v>
      </c>
      <c r="I73" s="5" t="s">
        <v>542</v>
      </c>
      <c r="J73" s="6" t="n">
        <v>45670</v>
      </c>
      <c r="K73" s="5" t="s">
        <v>543</v>
      </c>
      <c r="L73" s="5" t="n">
        <v>15</v>
      </c>
      <c r="M73" s="5" t="s">
        <v>98</v>
      </c>
      <c r="N73" s="5" t="s">
        <v>184</v>
      </c>
      <c r="O73" s="5" t="n">
        <v>1.3</v>
      </c>
      <c r="P73" s="5" t="n">
        <v>296000</v>
      </c>
      <c r="Q73" s="5" t="n">
        <v>15</v>
      </c>
      <c r="R73" s="5" t="s">
        <v>140</v>
      </c>
      <c r="S73" s="5" t="s">
        <v>202</v>
      </c>
      <c r="T73" s="5" t="n">
        <v>29</v>
      </c>
      <c r="U73" s="5" t="n">
        <v>10</v>
      </c>
      <c r="V73" s="5" t="s">
        <v>169</v>
      </c>
      <c r="W73" s="5" t="n">
        <v>1</v>
      </c>
      <c r="X73" s="6" t="n">
        <v>45672</v>
      </c>
      <c r="Y73" s="5" t="s">
        <v>153</v>
      </c>
      <c r="Z73" s="5" t="s">
        <v>221</v>
      </c>
      <c r="AA73" s="5" t="n">
        <v>91</v>
      </c>
      <c r="AB73" s="5" t="s">
        <v>304</v>
      </c>
      <c r="AC73" s="5"/>
      <c r="AD73" s="5" t="s">
        <v>106</v>
      </c>
      <c r="AE73" s="5"/>
      <c r="AF73" s="5" t="n">
        <v>0</v>
      </c>
      <c r="AG73" s="5" t="n">
        <v>0</v>
      </c>
      <c r="AH73" s="5" t="s">
        <v>94</v>
      </c>
      <c r="AI73" s="5" t="s">
        <v>79</v>
      </c>
      <c r="AJ73" s="5"/>
      <c r="AK73" s="5"/>
      <c r="AL73" s="5" t="s">
        <v>197</v>
      </c>
      <c r="AM73" s="5"/>
      <c r="AN73" s="5"/>
      <c r="AO73" s="5"/>
      <c r="AP73" s="5" t="s">
        <v>544</v>
      </c>
    </row>
    <row r="74" customFormat="false" ht="15" hidden="false" customHeight="true" outlineLevel="0" collapsed="false">
      <c r="A74" s="5" t="n">
        <v>68</v>
      </c>
      <c r="B74" s="5" t="s">
        <v>545</v>
      </c>
      <c r="C74" s="5" t="n">
        <v>4481313</v>
      </c>
      <c r="D74" s="5" t="s">
        <v>513</v>
      </c>
      <c r="E74" s="6" t="n">
        <v>15133</v>
      </c>
      <c r="F74" s="5" t="n">
        <f aca="false">INT((J74-E74)/365.25)</f>
        <v>83</v>
      </c>
      <c r="G74" s="5" t="s">
        <v>217</v>
      </c>
      <c r="H74" s="5" t="n">
        <v>56375</v>
      </c>
      <c r="I74" s="5" t="s">
        <v>546</v>
      </c>
      <c r="J74" s="6" t="n">
        <v>45670</v>
      </c>
      <c r="K74" s="5" t="s">
        <v>547</v>
      </c>
      <c r="L74" s="5" t="n">
        <v>14</v>
      </c>
      <c r="M74" s="5" t="s">
        <v>50</v>
      </c>
      <c r="N74" s="5" t="s">
        <v>51</v>
      </c>
      <c r="O74" s="5" t="n">
        <v>1.2</v>
      </c>
      <c r="P74" s="5" t="s">
        <v>72</v>
      </c>
      <c r="Q74" s="5" t="n">
        <v>17</v>
      </c>
      <c r="R74" s="5" t="n">
        <v>0</v>
      </c>
      <c r="S74" s="5" t="s">
        <v>202</v>
      </c>
      <c r="T74" s="5" t="n">
        <v>3.2</v>
      </c>
      <c r="U74" s="5" t="n">
        <v>13</v>
      </c>
      <c r="V74" s="5" t="s">
        <v>169</v>
      </c>
      <c r="W74" s="5" t="n">
        <v>3</v>
      </c>
      <c r="X74" s="6" t="n">
        <v>45672</v>
      </c>
      <c r="Y74" s="5" t="s">
        <v>50</v>
      </c>
      <c r="Z74" s="5" t="n">
        <v>1</v>
      </c>
      <c r="AA74" s="5" t="s">
        <v>548</v>
      </c>
      <c r="AB74" s="5" t="s">
        <v>304</v>
      </c>
      <c r="AC74" s="5" t="s">
        <v>106</v>
      </c>
      <c r="AD74" s="5"/>
      <c r="AE74" s="5"/>
      <c r="AF74" s="5" t="s">
        <v>407</v>
      </c>
      <c r="AG74" s="5" t="n">
        <v>1</v>
      </c>
      <c r="AH74" s="5"/>
      <c r="AI74" s="5" t="s">
        <v>305</v>
      </c>
      <c r="AJ74" s="5"/>
      <c r="AK74" s="5"/>
      <c r="AL74" s="5" t="s">
        <v>107</v>
      </c>
      <c r="AM74" s="5"/>
      <c r="AN74" s="5"/>
      <c r="AO74" s="5"/>
      <c r="AP74" s="5" t="s">
        <v>515</v>
      </c>
    </row>
    <row r="75" customFormat="false" ht="15" hidden="false" customHeight="true" outlineLevel="0" collapsed="false">
      <c r="A75" s="5" t="n">
        <v>69</v>
      </c>
      <c r="B75" s="5" t="n">
        <v>4</v>
      </c>
      <c r="C75" s="5" t="n">
        <v>4225993</v>
      </c>
      <c r="D75" s="5" t="s">
        <v>549</v>
      </c>
      <c r="E75" s="6" t="n">
        <v>17795</v>
      </c>
      <c r="F75" s="5" t="n">
        <f aca="false">INT((J75-E75)/365.25)</f>
        <v>76</v>
      </c>
      <c r="G75" s="5" t="s">
        <v>84</v>
      </c>
      <c r="H75" s="5" t="n">
        <v>90522</v>
      </c>
      <c r="I75" s="5" t="s">
        <v>550</v>
      </c>
      <c r="J75" s="6" t="n">
        <v>45691</v>
      </c>
      <c r="K75" s="6" t="n">
        <v>45700</v>
      </c>
      <c r="L75" s="13" t="n">
        <f aca="false">K75-J75</f>
        <v>9</v>
      </c>
      <c r="M75" s="5" t="s">
        <v>50</v>
      </c>
      <c r="N75" s="5" t="s">
        <v>114</v>
      </c>
      <c r="O75" s="5" t="s">
        <v>303</v>
      </c>
      <c r="P75" s="5" t="n">
        <v>295</v>
      </c>
      <c r="Q75" s="5" t="n">
        <v>15</v>
      </c>
      <c r="R75" s="5" t="n">
        <v>2</v>
      </c>
      <c r="S75" s="5" t="s">
        <v>187</v>
      </c>
      <c r="T75" s="5" t="n">
        <v>26</v>
      </c>
      <c r="U75" s="5" t="n">
        <v>10</v>
      </c>
      <c r="V75" s="5" t="s">
        <v>142</v>
      </c>
      <c r="W75" s="5" t="n">
        <v>1</v>
      </c>
      <c r="X75" s="5" t="s">
        <v>551</v>
      </c>
      <c r="Y75" s="5" t="s">
        <v>153</v>
      </c>
      <c r="Z75" s="5" t="s">
        <v>195</v>
      </c>
      <c r="AA75" s="5" t="s">
        <v>552</v>
      </c>
      <c r="AB75" s="5" t="s">
        <v>143</v>
      </c>
      <c r="AC75" s="5"/>
      <c r="AD75" s="5"/>
      <c r="AE75" s="5"/>
      <c r="AF75" s="5" t="n">
        <v>1</v>
      </c>
      <c r="AG75" s="5" t="n">
        <v>2</v>
      </c>
      <c r="AH75" s="5"/>
      <c r="AI75" s="5" t="s">
        <v>305</v>
      </c>
      <c r="AJ75" s="5" t="s">
        <v>77</v>
      </c>
      <c r="AK75" s="5"/>
      <c r="AL75" s="5" t="s">
        <v>144</v>
      </c>
      <c r="AM75" s="5"/>
      <c r="AN75" s="5"/>
      <c r="AO75" s="5"/>
      <c r="AP75" s="5" t="s">
        <v>553</v>
      </c>
    </row>
    <row r="76" customFormat="false" ht="15" hidden="false" customHeight="true" outlineLevel="0" collapsed="false">
      <c r="A76" s="7" t="n">
        <v>70</v>
      </c>
      <c r="B76" s="7" t="s">
        <v>554</v>
      </c>
      <c r="C76" s="7" t="n">
        <v>4010918</v>
      </c>
      <c r="D76" s="7" t="s">
        <v>555</v>
      </c>
      <c r="E76" s="8" t="n">
        <v>22251</v>
      </c>
      <c r="F76" s="7" t="n">
        <f aca="false">INT((J76-E76)/365.25)</f>
        <v>64</v>
      </c>
      <c r="G76" s="7" t="s">
        <v>67</v>
      </c>
      <c r="H76" s="7" t="n">
        <v>55769</v>
      </c>
      <c r="I76" s="7" t="s">
        <v>556</v>
      </c>
      <c r="J76" s="8" t="n">
        <v>45694</v>
      </c>
      <c r="K76" s="8" t="n">
        <v>45697</v>
      </c>
      <c r="L76" s="9" t="n">
        <f aca="false">K76-J76</f>
        <v>3</v>
      </c>
      <c r="M76" s="7" t="s">
        <v>113</v>
      </c>
      <c r="N76" s="7" t="s">
        <v>71</v>
      </c>
      <c r="O76" s="7" t="n">
        <v>1.6</v>
      </c>
      <c r="P76" s="7" t="n">
        <v>155</v>
      </c>
      <c r="Q76" s="7" t="n">
        <v>14</v>
      </c>
      <c r="R76" s="7" t="n">
        <v>2</v>
      </c>
      <c r="S76" s="7" t="s">
        <v>141</v>
      </c>
      <c r="T76" s="7" t="s">
        <v>389</v>
      </c>
      <c r="U76" s="7" t="s">
        <v>54</v>
      </c>
      <c r="V76" s="7" t="s">
        <v>142</v>
      </c>
      <c r="W76" s="7" t="s">
        <v>102</v>
      </c>
      <c r="X76" s="7" t="s">
        <v>557</v>
      </c>
      <c r="Y76" s="7" t="s">
        <v>50</v>
      </c>
      <c r="Z76" s="7" t="n">
        <v>2</v>
      </c>
      <c r="AA76" s="7" t="s">
        <v>558</v>
      </c>
      <c r="AB76" s="7" t="s">
        <v>71</v>
      </c>
      <c r="AC76" s="7" t="s">
        <v>105</v>
      </c>
      <c r="AD76" s="7" t="s">
        <v>78</v>
      </c>
      <c r="AE76" s="7"/>
      <c r="AF76" s="7" t="n">
        <v>2</v>
      </c>
      <c r="AG76" s="7" t="n">
        <v>1</v>
      </c>
      <c r="AH76" s="7"/>
      <c r="AI76" s="7" t="s">
        <v>256</v>
      </c>
      <c r="AJ76" s="7"/>
      <c r="AK76" s="7"/>
      <c r="AL76" s="7" t="s">
        <v>144</v>
      </c>
      <c r="AM76" s="5" t="s">
        <v>62</v>
      </c>
      <c r="AN76" s="5"/>
      <c r="AO76" s="5"/>
      <c r="AP76" s="5" t="s">
        <v>559</v>
      </c>
    </row>
    <row r="77" customFormat="false" ht="15" hidden="false" customHeight="true" outlineLevel="0" collapsed="false">
      <c r="A77" s="5" t="n">
        <v>71</v>
      </c>
      <c r="B77" s="5" t="s">
        <v>560</v>
      </c>
      <c r="C77" s="5" t="n">
        <v>4382853</v>
      </c>
      <c r="D77" s="5" t="s">
        <v>561</v>
      </c>
      <c r="E77" s="6" t="n">
        <v>14623</v>
      </c>
      <c r="F77" s="5" t="n">
        <v>85</v>
      </c>
      <c r="G77" s="5" t="s">
        <v>148</v>
      </c>
      <c r="H77" s="5" t="n">
        <v>27300</v>
      </c>
      <c r="I77" s="5" t="s">
        <v>562</v>
      </c>
      <c r="J77" s="5" t="s">
        <v>563</v>
      </c>
      <c r="K77" s="6" t="n">
        <v>45703</v>
      </c>
      <c r="L77" s="5" t="n">
        <v>8</v>
      </c>
      <c r="M77" s="5" t="s">
        <v>98</v>
      </c>
      <c r="N77" s="5" t="s">
        <v>54</v>
      </c>
      <c r="O77" s="5" t="n">
        <v>1.4</v>
      </c>
      <c r="P77" s="5" t="n">
        <v>227</v>
      </c>
      <c r="Q77" s="5" t="n">
        <v>12</v>
      </c>
      <c r="R77" s="5" t="s">
        <v>150</v>
      </c>
      <c r="S77" s="5" t="s">
        <v>452</v>
      </c>
      <c r="T77" s="5" t="s">
        <v>152</v>
      </c>
      <c r="U77" s="5" t="n">
        <v>12</v>
      </c>
      <c r="V77" s="5" t="s">
        <v>142</v>
      </c>
      <c r="W77" s="5" t="n">
        <v>2</v>
      </c>
      <c r="X77" s="5" t="n">
        <v>45698</v>
      </c>
      <c r="Y77" s="5" t="n">
        <v>1</v>
      </c>
      <c r="Z77" s="5" t="n">
        <v>2</v>
      </c>
      <c r="AA77" s="5" t="n">
        <v>1.25</v>
      </c>
      <c r="AB77" s="5" t="s">
        <v>104</v>
      </c>
      <c r="AC77" s="5" t="s">
        <v>106</v>
      </c>
      <c r="AD77" s="5"/>
      <c r="AE77" s="5"/>
      <c r="AF77" s="5" t="n">
        <v>4</v>
      </c>
      <c r="AG77" s="5" t="n">
        <v>4</v>
      </c>
      <c r="AH77" s="5" t="n">
        <v>4</v>
      </c>
      <c r="AI77" s="5" t="s">
        <v>60</v>
      </c>
      <c r="AJ77" s="5"/>
      <c r="AK77" s="5"/>
      <c r="AL77" s="5"/>
      <c r="AM77" s="5"/>
      <c r="AN77" s="5"/>
      <c r="AO77" s="5"/>
      <c r="AP77" s="5" t="s">
        <v>564</v>
      </c>
    </row>
    <row r="78" customFormat="false" ht="15" hidden="false" customHeight="true" outlineLevel="0" collapsed="false">
      <c r="A78" s="5" t="n">
        <v>72</v>
      </c>
      <c r="B78" s="5" t="s">
        <v>565</v>
      </c>
      <c r="C78" s="5" t="s">
        <v>566</v>
      </c>
      <c r="D78" s="5" t="s">
        <v>567</v>
      </c>
      <c r="E78" s="5" t="s">
        <v>568</v>
      </c>
      <c r="F78" s="5" t="n">
        <v>212</v>
      </c>
      <c r="G78" s="5" t="s">
        <v>148</v>
      </c>
      <c r="H78" s="5" t="n">
        <v>33787</v>
      </c>
      <c r="I78" s="5" t="s">
        <v>569</v>
      </c>
      <c r="J78" s="6" t="n">
        <v>45703</v>
      </c>
      <c r="K78" s="6" t="n">
        <v>45715</v>
      </c>
      <c r="L78" s="13" t="n">
        <f aca="false">K78-J78</f>
        <v>12</v>
      </c>
      <c r="M78" s="5" t="s">
        <v>80</v>
      </c>
      <c r="N78" s="5" t="s">
        <v>299</v>
      </c>
      <c r="O78" s="5" t="s">
        <v>431</v>
      </c>
      <c r="P78" s="5" t="n">
        <v>95000</v>
      </c>
      <c r="Q78" s="5" t="n">
        <v>8</v>
      </c>
      <c r="R78" s="5" t="s">
        <v>105</v>
      </c>
      <c r="S78" s="5" t="s">
        <v>91</v>
      </c>
      <c r="T78" s="5" t="n">
        <v>22</v>
      </c>
      <c r="U78" s="5" t="s">
        <v>54</v>
      </c>
      <c r="V78" s="5" t="s">
        <v>87</v>
      </c>
      <c r="W78" s="5" t="n">
        <v>4</v>
      </c>
      <c r="X78" s="5" t="s">
        <v>570</v>
      </c>
      <c r="Y78" s="5" t="s">
        <v>170</v>
      </c>
      <c r="Z78" s="5"/>
      <c r="AA78" s="5" t="n">
        <v>1.97</v>
      </c>
      <c r="AB78" s="5" t="s">
        <v>118</v>
      </c>
      <c r="AC78" s="5"/>
      <c r="AD78" s="5" t="s">
        <v>106</v>
      </c>
      <c r="AE78" s="5"/>
      <c r="AF78" s="5" t="n">
        <v>3</v>
      </c>
      <c r="AG78" s="5" t="n">
        <v>3</v>
      </c>
      <c r="AH78" s="5"/>
      <c r="AI78" s="5" t="s">
        <v>60</v>
      </c>
      <c r="AJ78" s="5" t="s">
        <v>77</v>
      </c>
      <c r="AK78" s="5"/>
      <c r="AL78" s="5" t="s">
        <v>172</v>
      </c>
      <c r="AM78" s="5"/>
      <c r="AN78" s="5" t="s">
        <v>121</v>
      </c>
      <c r="AO78" s="5"/>
      <c r="AP78" s="5" t="s">
        <v>571</v>
      </c>
    </row>
    <row r="79" customFormat="false" ht="15" hidden="false" customHeight="true" outlineLevel="0" collapsed="false">
      <c r="A79" s="5" t="n">
        <v>73</v>
      </c>
      <c r="B79" s="5" t="s">
        <v>572</v>
      </c>
      <c r="C79" s="5" t="n">
        <v>4832916</v>
      </c>
      <c r="D79" s="5" t="s">
        <v>573</v>
      </c>
      <c r="E79" s="5" t="s">
        <v>574</v>
      </c>
      <c r="F79" s="5" t="n">
        <v>64</v>
      </c>
      <c r="G79" s="5" t="s">
        <v>48</v>
      </c>
      <c r="H79" s="5" t="n">
        <v>23107</v>
      </c>
      <c r="I79" s="5"/>
      <c r="J79" s="6" t="n">
        <v>45703</v>
      </c>
      <c r="K79" s="5" t="s">
        <v>575</v>
      </c>
      <c r="L79" s="5" t="s">
        <v>87</v>
      </c>
      <c r="M79" s="5" t="s">
        <v>77</v>
      </c>
      <c r="N79" s="5" t="s">
        <v>71</v>
      </c>
      <c r="O79" s="5" t="s">
        <v>576</v>
      </c>
      <c r="P79" s="5" t="s">
        <v>577</v>
      </c>
      <c r="Q79" s="5" t="n">
        <v>13</v>
      </c>
      <c r="R79" s="5" t="n">
        <v>3</v>
      </c>
      <c r="S79" s="5" t="s">
        <v>371</v>
      </c>
      <c r="T79" s="5" t="n">
        <v>16</v>
      </c>
      <c r="U79" s="5" t="n">
        <v>7</v>
      </c>
      <c r="V79" s="5" t="s">
        <v>142</v>
      </c>
      <c r="W79" s="5" t="n">
        <v>1</v>
      </c>
      <c r="X79" s="5" t="n">
        <v>45704</v>
      </c>
      <c r="Y79" s="5" t="n">
        <v>1</v>
      </c>
      <c r="Z79" s="5" t="s">
        <v>204</v>
      </c>
      <c r="AA79" s="5" t="s">
        <v>578</v>
      </c>
      <c r="AB79" s="5"/>
      <c r="AC79" s="5" t="s">
        <v>105</v>
      </c>
      <c r="AD79" s="5" t="s">
        <v>106</v>
      </c>
      <c r="AE79" s="5"/>
      <c r="AF79" s="5" t="s">
        <v>255</v>
      </c>
      <c r="AG79" s="5" t="n">
        <v>5</v>
      </c>
      <c r="AH79" s="5"/>
      <c r="AI79" s="5" t="s">
        <v>305</v>
      </c>
      <c r="AJ79" s="5" t="s">
        <v>77</v>
      </c>
      <c r="AK79" s="5"/>
      <c r="AL79" s="5"/>
      <c r="AM79" s="5"/>
      <c r="AN79" s="5"/>
      <c r="AO79" s="5"/>
      <c r="AP79" s="5" t="s">
        <v>212</v>
      </c>
    </row>
    <row r="80" customFormat="false" ht="15" hidden="false" customHeight="true" outlineLevel="0" collapsed="false">
      <c r="A80" s="5" t="n">
        <v>74</v>
      </c>
      <c r="B80" s="5" t="s">
        <v>579</v>
      </c>
      <c r="C80" s="5" t="n">
        <v>4728565</v>
      </c>
      <c r="D80" s="5" t="s">
        <v>580</v>
      </c>
      <c r="E80" s="5" t="s">
        <v>581</v>
      </c>
      <c r="F80" s="5" t="s">
        <v>582</v>
      </c>
      <c r="G80" s="5" t="s">
        <v>67</v>
      </c>
      <c r="H80" s="5" t="s">
        <v>583</v>
      </c>
      <c r="I80" s="5"/>
      <c r="J80" s="5" t="n">
        <v>45706</v>
      </c>
      <c r="K80" s="6" t="n">
        <v>45722</v>
      </c>
      <c r="L80" s="5" t="n">
        <v>16</v>
      </c>
      <c r="M80" s="5" t="s">
        <v>80</v>
      </c>
      <c r="N80" s="5" t="s">
        <v>299</v>
      </c>
      <c r="O80" s="5" t="n">
        <v>1</v>
      </c>
      <c r="P80" s="5" t="s">
        <v>584</v>
      </c>
      <c r="Q80" s="5" t="s">
        <v>139</v>
      </c>
      <c r="R80" s="5" t="n">
        <v>4</v>
      </c>
      <c r="S80" s="5" t="s">
        <v>187</v>
      </c>
      <c r="T80" s="5" t="n">
        <v>25</v>
      </c>
      <c r="U80" s="5" t="n">
        <v>10</v>
      </c>
      <c r="V80" s="5" t="s">
        <v>169</v>
      </c>
      <c r="W80" s="5" t="s">
        <v>247</v>
      </c>
      <c r="X80" s="6" t="n">
        <v>45708</v>
      </c>
      <c r="Y80" s="5" t="s">
        <v>153</v>
      </c>
      <c r="Z80" s="5" t="n">
        <v>1</v>
      </c>
      <c r="AA80" s="5" t="n">
        <v>1.75</v>
      </c>
      <c r="AB80" s="5" t="s">
        <v>76</v>
      </c>
      <c r="AC80" s="5" t="s">
        <v>153</v>
      </c>
      <c r="AD80" s="5"/>
      <c r="AE80" s="6" t="n">
        <v>45763</v>
      </c>
      <c r="AF80" s="5" t="n">
        <v>1</v>
      </c>
      <c r="AG80" s="5" t="n">
        <v>1</v>
      </c>
      <c r="AH80" s="5"/>
      <c r="AI80" s="5" t="s">
        <v>256</v>
      </c>
      <c r="AJ80" s="5"/>
      <c r="AK80" s="5"/>
      <c r="AL80" s="5" t="s">
        <v>197</v>
      </c>
      <c r="AM80" s="5"/>
      <c r="AN80" s="5"/>
      <c r="AO80" s="5"/>
      <c r="AP80" s="5" t="s">
        <v>585</v>
      </c>
    </row>
    <row r="81" customFormat="false" ht="15" hidden="false" customHeight="true" outlineLevel="0" collapsed="false">
      <c r="A81" s="5" t="n">
        <v>75</v>
      </c>
      <c r="B81" s="5" t="s">
        <v>586</v>
      </c>
      <c r="C81" s="5" t="n">
        <v>4927050</v>
      </c>
      <c r="D81" s="5" t="s">
        <v>587</v>
      </c>
      <c r="E81" s="5" t="n">
        <v>18540</v>
      </c>
      <c r="F81" s="5" t="s">
        <v>588</v>
      </c>
      <c r="G81" s="5" t="s">
        <v>48</v>
      </c>
      <c r="H81" s="5" t="n">
        <v>64577</v>
      </c>
      <c r="I81" s="5" t="s">
        <v>589</v>
      </c>
      <c r="J81" s="6" t="n">
        <v>45716</v>
      </c>
      <c r="K81" s="5" t="s">
        <v>590</v>
      </c>
      <c r="L81" s="5" t="n">
        <v>4</v>
      </c>
      <c r="M81" s="5" t="s">
        <v>50</v>
      </c>
      <c r="N81" s="5" t="s">
        <v>299</v>
      </c>
      <c r="O81" s="5" t="n">
        <v>1</v>
      </c>
      <c r="P81" s="5" t="n">
        <v>373000</v>
      </c>
      <c r="Q81" s="5" t="n">
        <v>13</v>
      </c>
      <c r="R81" s="5" t="n">
        <v>2</v>
      </c>
      <c r="S81" s="5" t="s">
        <v>100</v>
      </c>
      <c r="T81" s="5" t="n">
        <v>21</v>
      </c>
      <c r="U81" s="5" t="n">
        <v>8</v>
      </c>
      <c r="V81" s="5" t="s">
        <v>87</v>
      </c>
      <c r="W81" s="5" t="n">
        <v>4</v>
      </c>
      <c r="X81" s="6" t="n">
        <v>45717</v>
      </c>
      <c r="Y81" s="5" t="s">
        <v>77</v>
      </c>
      <c r="Z81" s="5"/>
      <c r="AA81" s="5" t="n">
        <v>120</v>
      </c>
      <c r="AB81" s="5" t="s">
        <v>54</v>
      </c>
      <c r="AC81" s="5" t="s">
        <v>105</v>
      </c>
      <c r="AD81" s="5" t="s">
        <v>78</v>
      </c>
      <c r="AE81" s="5"/>
      <c r="AF81" s="5" t="n">
        <v>5</v>
      </c>
      <c r="AG81" s="5" t="n">
        <v>4</v>
      </c>
      <c r="AH81" s="5"/>
      <c r="AI81" s="5" t="s">
        <v>60</v>
      </c>
      <c r="AJ81" s="5"/>
      <c r="AK81" s="5"/>
      <c r="AL81" s="5" t="s">
        <v>107</v>
      </c>
      <c r="AM81" s="5"/>
      <c r="AN81" s="5"/>
      <c r="AO81" s="5"/>
      <c r="AP81" s="5" t="s">
        <v>591</v>
      </c>
    </row>
    <row r="82" customFormat="false" ht="15" hidden="false" customHeight="true" outlineLevel="0" collapsed="false">
      <c r="A82" s="5" t="n">
        <v>76</v>
      </c>
      <c r="B82" s="5" t="s">
        <v>592</v>
      </c>
      <c r="C82" s="5" t="n">
        <v>4251858</v>
      </c>
      <c r="D82" s="5" t="s">
        <v>593</v>
      </c>
      <c r="E82" s="5" t="s">
        <v>594</v>
      </c>
      <c r="F82" s="5" t="n">
        <v>75</v>
      </c>
      <c r="G82" s="5" t="s">
        <v>67</v>
      </c>
      <c r="H82" s="5" t="s">
        <v>595</v>
      </c>
      <c r="I82" s="5" t="s">
        <v>596</v>
      </c>
      <c r="J82" s="6" t="n">
        <v>45718</v>
      </c>
      <c r="K82" s="6" t="n">
        <v>45730</v>
      </c>
      <c r="L82" s="13" t="n">
        <f aca="false">K82-J82</f>
        <v>12</v>
      </c>
      <c r="M82" s="5" t="s">
        <v>106</v>
      </c>
      <c r="N82" s="5" t="s">
        <v>299</v>
      </c>
      <c r="O82" s="5" t="n">
        <v>1</v>
      </c>
      <c r="P82" s="5" t="s">
        <v>72</v>
      </c>
      <c r="Q82" s="5" t="n">
        <v>10</v>
      </c>
      <c r="R82" s="5" t="n">
        <v>0</v>
      </c>
      <c r="S82" s="5" t="s">
        <v>168</v>
      </c>
      <c r="T82" s="5" t="n">
        <v>120</v>
      </c>
      <c r="U82" s="5" t="n">
        <v>0</v>
      </c>
      <c r="V82" s="5" t="s">
        <v>101</v>
      </c>
      <c r="W82" s="5" t="s">
        <v>433</v>
      </c>
      <c r="X82" s="6" t="n">
        <v>45718</v>
      </c>
      <c r="Y82" s="5" t="s">
        <v>57</v>
      </c>
      <c r="Z82" s="5" t="n">
        <v>1</v>
      </c>
      <c r="AA82" s="5" t="n">
        <v>47</v>
      </c>
      <c r="AB82" s="5" t="s">
        <v>188</v>
      </c>
      <c r="AC82" s="5" t="s">
        <v>50</v>
      </c>
      <c r="AD82" s="5"/>
      <c r="AE82" s="5"/>
      <c r="AF82" s="5" t="n">
        <v>0</v>
      </c>
      <c r="AG82" s="5" t="n">
        <v>0</v>
      </c>
      <c r="AH82" s="5" t="n">
        <v>0</v>
      </c>
      <c r="AI82" s="5" t="s">
        <v>305</v>
      </c>
      <c r="AJ82" s="5" t="s">
        <v>106</v>
      </c>
      <c r="AK82" s="5"/>
      <c r="AL82" s="5"/>
      <c r="AM82" s="5"/>
      <c r="AN82" s="5"/>
      <c r="AO82" s="5"/>
      <c r="AP82" s="5" t="s">
        <v>597</v>
      </c>
    </row>
    <row r="83" customFormat="false" ht="15" hidden="false" customHeight="true" outlineLevel="0" collapsed="false">
      <c r="A83" s="5" t="n">
        <v>77</v>
      </c>
      <c r="B83" s="5" t="s">
        <v>598</v>
      </c>
      <c r="C83" s="5" t="n">
        <v>4241789</v>
      </c>
      <c r="D83" s="5" t="s">
        <v>599</v>
      </c>
      <c r="E83" s="6" t="n">
        <v>16470</v>
      </c>
      <c r="F83" s="5" t="n">
        <f aca="false">INT((J83-E83)/365.25)</f>
        <v>80</v>
      </c>
      <c r="G83" s="5" t="s">
        <v>158</v>
      </c>
      <c r="H83" s="5" t="n">
        <v>36034</v>
      </c>
      <c r="I83" s="5" t="s">
        <v>600</v>
      </c>
      <c r="J83" s="6" t="n">
        <v>45760</v>
      </c>
      <c r="K83" s="6" t="n">
        <v>45775</v>
      </c>
      <c r="L83" s="13" t="n">
        <f aca="false">K83-J83</f>
        <v>15</v>
      </c>
      <c r="M83" s="5" t="s">
        <v>98</v>
      </c>
      <c r="N83" s="5"/>
      <c r="O83" s="5" t="n">
        <v>1.1</v>
      </c>
      <c r="P83" s="5" t="n">
        <v>234</v>
      </c>
      <c r="Q83" s="5" t="n">
        <v>10</v>
      </c>
      <c r="R83" s="5" t="n">
        <v>2</v>
      </c>
      <c r="S83" s="5" t="s">
        <v>151</v>
      </c>
      <c r="T83" s="5" t="n">
        <v>2.2</v>
      </c>
      <c r="U83" s="5" t="n">
        <v>14</v>
      </c>
      <c r="V83" s="5" t="s">
        <v>142</v>
      </c>
      <c r="W83" s="5" t="n">
        <v>1</v>
      </c>
      <c r="X83" s="6" t="n">
        <v>45760</v>
      </c>
      <c r="Y83" s="5" t="s">
        <v>106</v>
      </c>
      <c r="Z83" s="5"/>
      <c r="AA83" s="5" t="n">
        <v>0.83</v>
      </c>
      <c r="AB83" s="5" t="s">
        <v>104</v>
      </c>
      <c r="AC83" s="5"/>
      <c r="AD83" s="5" t="s">
        <v>78</v>
      </c>
      <c r="AE83" s="5"/>
      <c r="AF83" s="5" t="n">
        <v>3</v>
      </c>
      <c r="AG83" s="5" t="n">
        <v>3</v>
      </c>
      <c r="AH83" s="5"/>
      <c r="AI83" s="5" t="s">
        <v>79</v>
      </c>
      <c r="AJ83" s="5"/>
      <c r="AK83" s="5"/>
      <c r="AL83" s="5" t="s">
        <v>144</v>
      </c>
      <c r="AM83" s="5"/>
      <c r="AN83" s="5"/>
      <c r="AO83" s="5"/>
      <c r="AP83" s="5" t="s">
        <v>601</v>
      </c>
    </row>
    <row r="84" customFormat="false" ht="15" hidden="false" customHeight="true" outlineLevel="0" collapsed="false">
      <c r="A84" s="5" t="n">
        <v>78</v>
      </c>
      <c r="B84" s="5" t="s">
        <v>602</v>
      </c>
      <c r="C84" s="5" t="n">
        <v>4583087</v>
      </c>
      <c r="D84" s="5" t="s">
        <v>603</v>
      </c>
      <c r="E84" s="6" t="n">
        <v>21641</v>
      </c>
      <c r="F84" s="5" t="s">
        <v>604</v>
      </c>
      <c r="G84" s="5" t="s">
        <v>84</v>
      </c>
      <c r="H84" s="5" t="n">
        <v>54126</v>
      </c>
      <c r="I84" s="5" t="s">
        <v>605</v>
      </c>
      <c r="J84" s="5" t="s">
        <v>606</v>
      </c>
      <c r="K84" s="5" t="s">
        <v>607</v>
      </c>
      <c r="L84" s="5" t="n">
        <v>3</v>
      </c>
      <c r="M84" s="5" t="s">
        <v>70</v>
      </c>
      <c r="N84" s="5"/>
      <c r="O84" s="5" t="n">
        <v>1.5</v>
      </c>
      <c r="P84" s="5" t="n">
        <v>286000</v>
      </c>
      <c r="Q84" s="5" t="s">
        <v>608</v>
      </c>
      <c r="R84" s="5" t="s">
        <v>140</v>
      </c>
      <c r="S84" s="5" t="s">
        <v>53</v>
      </c>
      <c r="T84" s="5" t="n">
        <v>1.3</v>
      </c>
      <c r="U84" s="5" t="n">
        <v>10</v>
      </c>
      <c r="V84" s="5" t="s">
        <v>169</v>
      </c>
      <c r="W84" s="5" t="n">
        <v>1</v>
      </c>
      <c r="X84" s="6" t="n">
        <v>45769</v>
      </c>
      <c r="Y84" s="5" t="n">
        <v>1</v>
      </c>
      <c r="Z84" s="5" t="s">
        <v>204</v>
      </c>
      <c r="AA84" s="5" t="n">
        <v>106</v>
      </c>
      <c r="AB84" s="5" t="s">
        <v>71</v>
      </c>
      <c r="AC84" s="5" t="s">
        <v>106</v>
      </c>
      <c r="AD84" s="5" t="s">
        <v>77</v>
      </c>
      <c r="AE84" s="5"/>
      <c r="AF84" s="5" t="n">
        <v>5</v>
      </c>
      <c r="AG84" s="5" t="n">
        <v>5</v>
      </c>
      <c r="AH84" s="5"/>
      <c r="AI84" s="5" t="s">
        <v>60</v>
      </c>
      <c r="AJ84" s="5" t="s">
        <v>80</v>
      </c>
      <c r="AK84" s="6" t="n">
        <v>45895</v>
      </c>
      <c r="AL84" s="5"/>
      <c r="AM84" s="5"/>
      <c r="AN84" s="5"/>
      <c r="AO84" s="5"/>
      <c r="AP84" s="5" t="s">
        <v>609</v>
      </c>
    </row>
    <row r="85" customFormat="false" ht="15" hidden="false" customHeight="true" outlineLevel="0" collapsed="false">
      <c r="A85" s="7" t="n">
        <v>78</v>
      </c>
      <c r="B85" s="7" t="s">
        <v>610</v>
      </c>
      <c r="C85" s="7" t="n">
        <v>4846560</v>
      </c>
      <c r="D85" s="7" t="s">
        <v>611</v>
      </c>
      <c r="E85" s="8" t="n">
        <v>21390</v>
      </c>
      <c r="F85" s="7" t="n">
        <f aca="false">INT((J85-E85)/365.25)</f>
        <v>66</v>
      </c>
      <c r="G85" s="7" t="s">
        <v>48</v>
      </c>
      <c r="H85" s="7" t="n">
        <v>46805</v>
      </c>
      <c r="I85" s="7"/>
      <c r="J85" s="8" t="n">
        <v>45783</v>
      </c>
      <c r="K85" s="8" t="n">
        <v>45786</v>
      </c>
      <c r="L85" s="9" t="n">
        <f aca="false">K85-J85</f>
        <v>3</v>
      </c>
      <c r="M85" s="7" t="s">
        <v>70</v>
      </c>
      <c r="N85" s="7" t="s">
        <v>299</v>
      </c>
      <c r="O85" s="7" t="n">
        <v>1.3</v>
      </c>
      <c r="P85" s="7" t="s">
        <v>72</v>
      </c>
      <c r="Q85" s="7" t="n">
        <v>14</v>
      </c>
      <c r="R85" s="7" t="n">
        <v>2</v>
      </c>
      <c r="S85" s="7" t="s">
        <v>168</v>
      </c>
      <c r="T85" s="7" t="n">
        <v>2.4</v>
      </c>
      <c r="U85" s="7" t="n">
        <v>5</v>
      </c>
      <c r="V85" s="7" t="s">
        <v>116</v>
      </c>
      <c r="W85" s="7" t="s">
        <v>56</v>
      </c>
      <c r="X85" s="8" t="n">
        <v>45785</v>
      </c>
      <c r="Y85" s="7" t="s">
        <v>50</v>
      </c>
      <c r="Z85" s="7" t="n">
        <v>1</v>
      </c>
      <c r="AA85" s="7" t="s">
        <v>276</v>
      </c>
      <c r="AB85" s="7" t="s">
        <v>205</v>
      </c>
      <c r="AC85" s="7" t="s">
        <v>105</v>
      </c>
      <c r="AD85" s="7"/>
      <c r="AE85" s="7"/>
      <c r="AF85" s="7" t="n">
        <v>1</v>
      </c>
      <c r="AG85" s="7" t="n">
        <v>1</v>
      </c>
      <c r="AH85" s="7" t="s">
        <v>94</v>
      </c>
      <c r="AI85" s="7"/>
      <c r="AJ85" s="7" t="s">
        <v>106</v>
      </c>
      <c r="AK85" s="7"/>
      <c r="AL85" s="7"/>
      <c r="AM85" s="5"/>
      <c r="AN85" s="5"/>
      <c r="AO85" s="5"/>
      <c r="AP85" s="5" t="s">
        <v>612</v>
      </c>
    </row>
    <row r="86" customFormat="false" ht="15" hidden="false" customHeight="true" outlineLevel="0" collapsed="false">
      <c r="A86" s="5" t="n">
        <v>80</v>
      </c>
      <c r="B86" s="5" t="s">
        <v>613</v>
      </c>
      <c r="C86" s="5" t="n">
        <v>4493906</v>
      </c>
      <c r="D86" s="5" t="s">
        <v>614</v>
      </c>
      <c r="E86" s="6" t="n">
        <v>15170</v>
      </c>
      <c r="F86" s="5" t="n">
        <f aca="false">INT((J86-E86)/365.25)</f>
        <v>83</v>
      </c>
      <c r="G86" s="5" t="s">
        <v>314</v>
      </c>
      <c r="H86" s="5" t="n">
        <v>23494</v>
      </c>
      <c r="I86" s="5" t="s">
        <v>615</v>
      </c>
      <c r="J86" s="6" t="n">
        <v>45809</v>
      </c>
      <c r="K86" s="6" t="n">
        <v>45820</v>
      </c>
      <c r="L86" s="13" t="n">
        <f aca="false">K86-J86</f>
        <v>11</v>
      </c>
      <c r="M86" s="5" t="s">
        <v>87</v>
      </c>
      <c r="N86" s="5" t="s">
        <v>219</v>
      </c>
      <c r="O86" s="5" t="n">
        <v>3</v>
      </c>
      <c r="P86" s="5" t="n">
        <v>371</v>
      </c>
      <c r="Q86" s="5" t="n">
        <v>15</v>
      </c>
      <c r="R86" s="5" t="s">
        <v>616</v>
      </c>
      <c r="S86" s="5" t="s">
        <v>53</v>
      </c>
      <c r="T86" s="5" t="n">
        <v>2.6</v>
      </c>
      <c r="U86" s="5" t="n">
        <v>8</v>
      </c>
      <c r="V86" s="5" t="s">
        <v>55</v>
      </c>
      <c r="W86" s="5" t="n">
        <v>3</v>
      </c>
      <c r="X86" s="6" t="n">
        <v>45812</v>
      </c>
      <c r="Y86" s="5" t="s">
        <v>105</v>
      </c>
      <c r="Z86" s="5"/>
      <c r="AA86" s="5" t="n">
        <v>1.42</v>
      </c>
      <c r="AB86" s="5"/>
      <c r="AC86" s="5" t="s">
        <v>80</v>
      </c>
      <c r="AD86" s="5" t="s">
        <v>78</v>
      </c>
      <c r="AE86" s="5"/>
      <c r="AF86" s="5" t="s">
        <v>407</v>
      </c>
      <c r="AG86" s="5" t="n">
        <v>1</v>
      </c>
      <c r="AH86" s="5" t="s">
        <v>94</v>
      </c>
      <c r="AI86" s="5"/>
      <c r="AJ86" s="5" t="s">
        <v>77</v>
      </c>
      <c r="AK86" s="5"/>
      <c r="AL86" s="5" t="s">
        <v>197</v>
      </c>
      <c r="AM86" s="5"/>
      <c r="AN86" s="5"/>
      <c r="AO86" s="5"/>
      <c r="AP86" s="5" t="s">
        <v>617</v>
      </c>
    </row>
    <row r="87" customFormat="false" ht="15" hidden="false" customHeight="true" outlineLevel="0" collapsed="false">
      <c r="A87" s="5" t="n">
        <v>81</v>
      </c>
      <c r="B87" s="5" t="s">
        <v>618</v>
      </c>
      <c r="C87" s="5" t="n">
        <v>4531622</v>
      </c>
      <c r="D87" s="5" t="s">
        <v>619</v>
      </c>
      <c r="E87" s="6" t="n">
        <v>15307</v>
      </c>
      <c r="F87" s="5" t="n">
        <v>83</v>
      </c>
      <c r="G87" s="5" t="s">
        <v>48</v>
      </c>
      <c r="H87" s="5" t="n">
        <v>77626</v>
      </c>
      <c r="I87" s="5" t="s">
        <v>620</v>
      </c>
      <c r="J87" s="5" t="s">
        <v>621</v>
      </c>
      <c r="K87" s="5" t="n">
        <v>45816</v>
      </c>
      <c r="L87" s="5" t="n">
        <v>3</v>
      </c>
      <c r="M87" s="5" t="s">
        <v>50</v>
      </c>
      <c r="N87" s="5" t="s">
        <v>128</v>
      </c>
      <c r="O87" s="5" t="n">
        <v>1</v>
      </c>
      <c r="P87" s="5" t="n">
        <v>374</v>
      </c>
      <c r="Q87" s="5" t="n">
        <v>13</v>
      </c>
      <c r="R87" s="5" t="n">
        <v>1</v>
      </c>
      <c r="S87" s="5" t="s">
        <v>452</v>
      </c>
      <c r="T87" s="5" t="n">
        <v>11</v>
      </c>
      <c r="U87" s="5" t="n">
        <v>7</v>
      </c>
      <c r="V87" s="5" t="s">
        <v>87</v>
      </c>
      <c r="W87" s="5" t="n">
        <v>2</v>
      </c>
      <c r="X87" s="5" t="s">
        <v>622</v>
      </c>
      <c r="Y87" s="5" t="s">
        <v>57</v>
      </c>
      <c r="Z87" s="5" t="s">
        <v>195</v>
      </c>
      <c r="AA87" s="5" t="s">
        <v>623</v>
      </c>
      <c r="AB87" s="5" t="s">
        <v>104</v>
      </c>
      <c r="AC87" s="5" t="s">
        <v>153</v>
      </c>
      <c r="AD87" s="5" t="s">
        <v>59</v>
      </c>
      <c r="AE87" s="5" t="s">
        <v>624</v>
      </c>
      <c r="AF87" s="5" t="n">
        <v>4</v>
      </c>
      <c r="AG87" s="5" t="n">
        <v>4</v>
      </c>
      <c r="AH87" s="5" t="n">
        <v>4</v>
      </c>
      <c r="AI87" s="5"/>
      <c r="AJ87" s="5"/>
      <c r="AK87" s="5"/>
      <c r="AL87" s="5" t="s">
        <v>172</v>
      </c>
      <c r="AM87" s="5"/>
      <c r="AN87" s="5"/>
      <c r="AO87" s="5"/>
      <c r="AP87" s="5" t="s">
        <v>625</v>
      </c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customFormat="false" ht="15" hidden="false" customHeight="true" outlineLevel="0" collapsed="false">
      <c r="A89" s="20" t="s">
        <v>626</v>
      </c>
      <c r="B89" s="5"/>
      <c r="C89" s="5"/>
      <c r="D89" s="5"/>
      <c r="E89" s="5"/>
      <c r="F89" s="21" t="n">
        <f aca="false">AVERAGE(F4:F87)</f>
        <v>79.2535211267606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0" t="n">
        <f aca="false">COUNTIF(Y4:Y87,"Y")</f>
        <v>13</v>
      </c>
      <c r="Z89" s="5"/>
      <c r="AA89" s="5"/>
      <c r="AB89" s="5"/>
      <c r="AC89" s="20" t="n">
        <f aca="false">COUNTIF(AC4:AC87,"Y")</f>
        <v>7</v>
      </c>
      <c r="AD89" s="20" t="n">
        <f aca="false">COUNTIF(AD4:AD87,"y")</f>
        <v>10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</sheetData>
  <mergeCells count="5">
    <mergeCell ref="A2:I2"/>
    <mergeCell ref="J2:L2"/>
    <mergeCell ref="M2:V2"/>
    <mergeCell ref="W2:AB2"/>
    <mergeCell ref="AC2:A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</cols>
  <sheetData>
    <row r="1" customFormat="false" ht="15" hidden="false" customHeight="true" outlineLevel="0" collapsed="false">
      <c r="A1" s="4" t="s">
        <v>4</v>
      </c>
      <c r="B1" s="4" t="s">
        <v>627</v>
      </c>
    </row>
    <row r="2" customFormat="false" ht="15" hidden="false" customHeight="true" outlineLevel="0" collapsed="false">
      <c r="A2" s="5" t="s">
        <v>23</v>
      </c>
      <c r="B2" s="5" t="s">
        <v>628</v>
      </c>
    </row>
    <row r="3" customFormat="false" ht="15" hidden="false" customHeight="true" outlineLevel="0" collapsed="false">
      <c r="A3" s="5" t="s">
        <v>629</v>
      </c>
      <c r="B3" s="5" t="s">
        <v>630</v>
      </c>
    </row>
    <row r="4" customFormat="false" ht="15" hidden="false" customHeight="true" outlineLevel="0" collapsed="false">
      <c r="A4" s="5" t="s">
        <v>631</v>
      </c>
      <c r="B4" s="5" t="s">
        <v>632</v>
      </c>
    </row>
    <row r="5" customFormat="false" ht="15" hidden="false" customHeight="true" outlineLevel="0" collapsed="false">
      <c r="A5" s="5" t="s">
        <v>29</v>
      </c>
      <c r="B5" s="5" t="s">
        <v>633</v>
      </c>
    </row>
    <row r="6" customFormat="false" ht="15" hidden="false" customHeight="true" outlineLevel="0" collapsed="false">
      <c r="A6" s="5" t="s">
        <v>27</v>
      </c>
      <c r="B6" s="5" t="s">
        <v>634</v>
      </c>
    </row>
    <row r="7" customFormat="false" ht="15" hidden="false" customHeight="true" outlineLevel="0" collapsed="false">
      <c r="A7" s="5"/>
      <c r="B7" s="5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3"/>
  </cols>
  <sheetData>
    <row r="1" customFormat="false" ht="15" hidden="false" customHeight="true" outlineLevel="0" collapsed="false">
      <c r="A1" s="4" t="s">
        <v>1</v>
      </c>
      <c r="B1" s="4" t="s">
        <v>636</v>
      </c>
      <c r="C1" s="4" t="s">
        <v>637</v>
      </c>
      <c r="D1" s="4" t="s">
        <v>629</v>
      </c>
      <c r="E1" s="4" t="s">
        <v>638</v>
      </c>
      <c r="F1" s="4" t="s">
        <v>639</v>
      </c>
    </row>
    <row r="2" customFormat="false" ht="15" hidden="false" customHeight="true" outlineLevel="0" collapsed="false">
      <c r="A2" s="5" t="s">
        <v>640</v>
      </c>
      <c r="B2" s="6" t="n">
        <v>45333</v>
      </c>
      <c r="C2" s="5" t="s">
        <v>50</v>
      </c>
      <c r="D2" s="5" t="n">
        <v>4</v>
      </c>
      <c r="E2" s="5" t="s">
        <v>641</v>
      </c>
      <c r="F2" s="5" t="s">
        <v>642</v>
      </c>
    </row>
    <row r="3" customFormat="false" ht="15" hidden="false" customHeight="true" outlineLevel="0" collapsed="false">
      <c r="A3" s="5" t="s">
        <v>640</v>
      </c>
      <c r="B3" s="5" t="s">
        <v>643</v>
      </c>
      <c r="C3" s="5" t="s">
        <v>50</v>
      </c>
      <c r="D3" s="5" t="n">
        <v>3</v>
      </c>
      <c r="E3" s="5"/>
      <c r="F3" s="5" t="s">
        <v>644</v>
      </c>
    </row>
    <row r="4" customFormat="false" ht="15" hidden="false" customHeight="true" outlineLevel="0" collapsed="false">
      <c r="A4" s="5" t="s">
        <v>645</v>
      </c>
      <c r="B4" s="6" t="n">
        <v>45510</v>
      </c>
      <c r="C4" s="5" t="s">
        <v>60</v>
      </c>
      <c r="D4" s="5" t="n">
        <v>3</v>
      </c>
      <c r="E4" s="5" t="s">
        <v>641</v>
      </c>
      <c r="F4" s="5" t="s">
        <v>646</v>
      </c>
    </row>
    <row r="5" customFormat="false" ht="15" hidden="false" customHeight="true" outlineLevel="0" collapsed="false">
      <c r="A5" s="5" t="s">
        <v>647</v>
      </c>
      <c r="B5" s="5" t="s">
        <v>648</v>
      </c>
      <c r="C5" s="5" t="s">
        <v>50</v>
      </c>
      <c r="D5" s="5" t="n">
        <v>4</v>
      </c>
      <c r="E5" s="5" t="s">
        <v>649</v>
      </c>
      <c r="F5" s="5" t="s">
        <v>644</v>
      </c>
    </row>
    <row r="6" customFormat="false" ht="15" hidden="false" customHeight="true" outlineLevel="0" collapsed="false">
      <c r="A6" s="5" t="s">
        <v>645</v>
      </c>
      <c r="B6" s="6" t="n">
        <v>45508</v>
      </c>
      <c r="C6" s="5" t="s">
        <v>650</v>
      </c>
      <c r="D6" s="5"/>
      <c r="E6" s="5" t="s">
        <v>649</v>
      </c>
      <c r="F6" s="5" t="s">
        <v>642</v>
      </c>
    </row>
    <row r="7" customFormat="false" ht="15" hidden="false" customHeight="true" outlineLevel="0" collapsed="false">
      <c r="A7" s="5" t="s">
        <v>651</v>
      </c>
      <c r="B7" s="6" t="n">
        <v>45804</v>
      </c>
      <c r="C7" s="5" t="s">
        <v>650</v>
      </c>
      <c r="D7" s="5"/>
      <c r="E7" s="5"/>
      <c r="F7" s="5" t="s">
        <v>644</v>
      </c>
    </row>
    <row r="8" customFormat="false" ht="15" hidden="false" customHeight="true" outlineLevel="0" collapsed="false">
      <c r="A8" s="5" t="s">
        <v>652</v>
      </c>
      <c r="B8" s="5" t="s">
        <v>653</v>
      </c>
      <c r="C8" s="5" t="s">
        <v>650</v>
      </c>
      <c r="D8" s="5"/>
      <c r="E8" s="5" t="s">
        <v>641</v>
      </c>
      <c r="F8" s="5" t="s">
        <v>646</v>
      </c>
    </row>
    <row r="9" customFormat="false" ht="15" hidden="false" customHeight="true" outlineLevel="0" collapsed="false">
      <c r="A9" s="5" t="s">
        <v>654</v>
      </c>
      <c r="B9" s="6" t="n">
        <v>45508</v>
      </c>
      <c r="C9" s="5" t="s">
        <v>106</v>
      </c>
      <c r="D9" s="5"/>
      <c r="E9" s="5" t="s">
        <v>649</v>
      </c>
      <c r="F9" s="5" t="s">
        <v>646</v>
      </c>
    </row>
    <row r="10" customFormat="false" ht="15" hidden="false" customHeight="true" outlineLevel="0" collapsed="false">
      <c r="A10" s="5" t="s">
        <v>654</v>
      </c>
      <c r="B10" s="6" t="n">
        <v>45513</v>
      </c>
      <c r="C10" s="5" t="s">
        <v>106</v>
      </c>
      <c r="D10" s="5"/>
      <c r="E10" s="5" t="s">
        <v>649</v>
      </c>
      <c r="F10" s="5" t="s">
        <v>644</v>
      </c>
    </row>
    <row r="11" customFormat="false" ht="15" hidden="false" customHeight="true" outlineLevel="0" collapsed="false">
      <c r="A11" s="5" t="s">
        <v>655</v>
      </c>
      <c r="B11" s="5" t="s">
        <v>656</v>
      </c>
      <c r="C11" s="5" t="s">
        <v>650</v>
      </c>
      <c r="D11" s="5"/>
      <c r="E11" s="5" t="s">
        <v>649</v>
      </c>
      <c r="F11" s="5" t="s">
        <v>642</v>
      </c>
    </row>
    <row r="12" customFormat="false" ht="15" hidden="false" customHeight="true" outlineLevel="0" collapsed="false">
      <c r="A12" s="5" t="s">
        <v>657</v>
      </c>
      <c r="B12" s="6" t="n">
        <v>45178</v>
      </c>
      <c r="C12" s="5" t="s">
        <v>650</v>
      </c>
      <c r="D12" s="5"/>
      <c r="E12" s="5" t="s">
        <v>658</v>
      </c>
      <c r="F12" s="5" t="s">
        <v>646</v>
      </c>
    </row>
    <row r="13" customFormat="false" ht="15" hidden="false" customHeight="true" outlineLevel="0" collapsed="false">
      <c r="A13" s="5" t="s">
        <v>657</v>
      </c>
      <c r="B13" s="5" t="s">
        <v>659</v>
      </c>
      <c r="C13" s="5" t="s">
        <v>80</v>
      </c>
      <c r="D13" s="5" t="n">
        <v>5</v>
      </c>
      <c r="E13" s="5" t="s">
        <v>641</v>
      </c>
      <c r="F13" s="5" t="s">
        <v>644</v>
      </c>
    </row>
    <row r="14" customFormat="false" ht="15" hidden="false" customHeight="true" outlineLevel="0" collapsed="false">
      <c r="A14" s="5" t="s">
        <v>660</v>
      </c>
      <c r="B14" s="5" t="s">
        <v>661</v>
      </c>
      <c r="C14" s="5" t="s">
        <v>80</v>
      </c>
      <c r="D14" s="5" t="n">
        <v>0</v>
      </c>
      <c r="E14" s="5" t="s">
        <v>662</v>
      </c>
      <c r="F14" s="5"/>
    </row>
    <row r="15" customFormat="false" ht="15" hidden="false" customHeight="true" outlineLevel="0" collapsed="false">
      <c r="A15" s="5" t="s">
        <v>663</v>
      </c>
      <c r="B15" s="6" t="n">
        <v>45121</v>
      </c>
      <c r="C15" s="5" t="s">
        <v>50</v>
      </c>
      <c r="D15" s="5" t="n">
        <v>5</v>
      </c>
      <c r="E15" s="5" t="s">
        <v>658</v>
      </c>
      <c r="F15" s="5"/>
    </row>
    <row r="16" customFormat="false" ht="15" hidden="false" customHeight="true" outlineLevel="0" collapsed="false">
      <c r="A16" s="5" t="s">
        <v>664</v>
      </c>
      <c r="B16" s="5" t="s">
        <v>665</v>
      </c>
      <c r="C16" s="5" t="s">
        <v>666</v>
      </c>
      <c r="D16" s="5"/>
      <c r="E16" s="5"/>
      <c r="F16" s="5" t="s">
        <v>667</v>
      </c>
    </row>
    <row r="17" customFormat="false" ht="15" hidden="false" customHeight="true" outlineLevel="0" collapsed="false">
      <c r="A17" s="5" t="s">
        <v>668</v>
      </c>
      <c r="B17" s="6" t="n">
        <v>45677</v>
      </c>
      <c r="C17" s="5" t="s">
        <v>106</v>
      </c>
      <c r="D17" s="5"/>
      <c r="E17" s="5" t="s">
        <v>641</v>
      </c>
      <c r="F17" s="5" t="s">
        <v>642</v>
      </c>
    </row>
    <row r="18" customFormat="false" ht="15" hidden="false" customHeight="true" outlineLevel="0" collapsed="false">
      <c r="A18" s="5" t="s">
        <v>668</v>
      </c>
      <c r="B18" s="5" t="n">
        <v>45660</v>
      </c>
      <c r="C18" s="5" t="s">
        <v>60</v>
      </c>
      <c r="D18" s="5" t="n">
        <v>1</v>
      </c>
      <c r="E18" s="5"/>
      <c r="F18" s="5" t="s">
        <v>646</v>
      </c>
    </row>
    <row r="19" customFormat="false" ht="15" hidden="false" customHeight="true" outlineLevel="0" collapsed="false">
      <c r="A19" s="5" t="s">
        <v>669</v>
      </c>
      <c r="B19" s="6" t="n">
        <v>45690</v>
      </c>
      <c r="C19" s="5" t="s">
        <v>666</v>
      </c>
      <c r="D19" s="5"/>
      <c r="E19" s="5"/>
      <c r="F19" s="5" t="s">
        <v>644</v>
      </c>
    </row>
    <row r="20" customFormat="false" ht="15" hidden="false" customHeight="true" outlineLevel="0" collapsed="false">
      <c r="A20" s="5" t="s">
        <v>670</v>
      </c>
      <c r="B20" s="6" t="n">
        <v>45332</v>
      </c>
      <c r="C20" s="5" t="s">
        <v>60</v>
      </c>
      <c r="D20" s="5" t="n">
        <v>1</v>
      </c>
      <c r="E20" s="5" t="s">
        <v>662</v>
      </c>
      <c r="F20" s="5" t="s">
        <v>667</v>
      </c>
    </row>
    <row r="21" customFormat="false" ht="15" hidden="false" customHeight="true" outlineLevel="0" collapsed="false">
      <c r="A21" s="5" t="s">
        <v>671</v>
      </c>
      <c r="B21" s="5" t="s">
        <v>672</v>
      </c>
      <c r="C21" s="5" t="s">
        <v>80</v>
      </c>
      <c r="D21" s="5" t="n">
        <v>2</v>
      </c>
      <c r="E21" s="5" t="s">
        <v>662</v>
      </c>
      <c r="F21" s="5" t="s">
        <v>644</v>
      </c>
    </row>
    <row r="22" customFormat="false" ht="15" hidden="false" customHeight="true" outlineLevel="0" collapsed="false">
      <c r="A22" s="5" t="s">
        <v>671</v>
      </c>
      <c r="B22" s="6" t="n">
        <v>45339</v>
      </c>
      <c r="C22" s="5" t="s">
        <v>80</v>
      </c>
      <c r="D22" s="5" t="n">
        <v>5</v>
      </c>
      <c r="E22" s="5" t="s">
        <v>649</v>
      </c>
      <c r="F22" s="5"/>
    </row>
    <row r="23" customFormat="false" ht="15" hidden="false" customHeight="true" outlineLevel="0" collapsed="false">
      <c r="A23" s="5" t="s">
        <v>673</v>
      </c>
      <c r="B23" s="6" t="n">
        <v>45129</v>
      </c>
      <c r="C23" s="5" t="s">
        <v>650</v>
      </c>
      <c r="D23" s="5"/>
      <c r="E23" s="5" t="s">
        <v>658</v>
      </c>
      <c r="F23" s="5" t="s">
        <v>646</v>
      </c>
    </row>
    <row r="24" customFormat="false" ht="15" hidden="false" customHeight="true" outlineLevel="0" collapsed="false">
      <c r="A24" s="5" t="s">
        <v>668</v>
      </c>
      <c r="B24" s="5" t="s">
        <v>674</v>
      </c>
      <c r="C24" s="5" t="s">
        <v>50</v>
      </c>
      <c r="D24" s="5" t="n">
        <v>1</v>
      </c>
      <c r="E24" s="5"/>
      <c r="F24" s="5"/>
    </row>
    <row r="25" customFormat="false" ht="15" hidden="false" customHeight="true" outlineLevel="0" collapsed="false">
      <c r="A25" s="5" t="s">
        <v>675</v>
      </c>
      <c r="B25" s="6" t="n">
        <v>45486</v>
      </c>
      <c r="C25" s="5" t="s">
        <v>106</v>
      </c>
      <c r="D25" s="5"/>
      <c r="E25" s="5" t="s">
        <v>649</v>
      </c>
      <c r="F25" s="5" t="s">
        <v>646</v>
      </c>
    </row>
    <row r="26" customFormat="false" ht="15" hidden="false" customHeight="true" outlineLevel="0" collapsed="false">
      <c r="A26" s="5" t="s">
        <v>675</v>
      </c>
      <c r="B26" s="5" t="s">
        <v>676</v>
      </c>
      <c r="C26" s="5" t="s">
        <v>60</v>
      </c>
      <c r="D26" s="5" t="n">
        <v>5</v>
      </c>
      <c r="E26" s="5" t="s">
        <v>658</v>
      </c>
      <c r="F26" s="5"/>
    </row>
    <row r="27" customFormat="false" ht="15" hidden="false" customHeight="true" outlineLevel="0" collapsed="false">
      <c r="A27" s="5" t="s">
        <v>651</v>
      </c>
      <c r="B27" s="6" t="n">
        <v>45222</v>
      </c>
      <c r="C27" s="5" t="s">
        <v>50</v>
      </c>
      <c r="D27" s="5" t="n">
        <v>0</v>
      </c>
      <c r="E27" s="5" t="s">
        <v>641</v>
      </c>
      <c r="F27" s="5" t="s">
        <v>646</v>
      </c>
    </row>
    <row r="28" customFormat="false" ht="15" hidden="false" customHeight="true" outlineLevel="0" collapsed="false">
      <c r="A28" s="5" t="s">
        <v>677</v>
      </c>
      <c r="B28" s="6" t="n">
        <v>45616</v>
      </c>
      <c r="C28" s="5" t="s">
        <v>50</v>
      </c>
      <c r="D28" s="5" t="n">
        <v>2</v>
      </c>
      <c r="E28" s="5" t="s">
        <v>641</v>
      </c>
      <c r="F28" s="5" t="s">
        <v>644</v>
      </c>
    </row>
    <row r="29" customFormat="false" ht="15" hidden="false" customHeight="true" outlineLevel="0" collapsed="false">
      <c r="A29" s="5" t="s">
        <v>669</v>
      </c>
      <c r="B29" s="6" t="n">
        <v>45621</v>
      </c>
      <c r="C29" s="5" t="s">
        <v>106</v>
      </c>
      <c r="D29" s="5"/>
      <c r="E29" s="5" t="s">
        <v>662</v>
      </c>
      <c r="F29" s="5" t="s">
        <v>667</v>
      </c>
    </row>
    <row r="30" customFormat="false" ht="15" hidden="false" customHeight="true" outlineLevel="0" collapsed="false">
      <c r="A30" s="5" t="s">
        <v>669</v>
      </c>
      <c r="B30" s="6" t="n">
        <v>45633</v>
      </c>
      <c r="C30" s="5" t="s">
        <v>106</v>
      </c>
      <c r="D30" s="5"/>
      <c r="E30" s="5"/>
      <c r="F30" s="5"/>
    </row>
    <row r="31" customFormat="false" ht="15" hidden="false" customHeight="true" outlineLevel="0" collapsed="false">
      <c r="A31" s="5" t="s">
        <v>678</v>
      </c>
      <c r="B31" s="6" t="n">
        <v>45215</v>
      </c>
      <c r="C31" s="5" t="s">
        <v>106</v>
      </c>
      <c r="D31" s="5"/>
      <c r="E31" s="5" t="s">
        <v>662</v>
      </c>
      <c r="F31" s="5" t="s">
        <v>642</v>
      </c>
    </row>
    <row r="32" customFormat="false" ht="15" hidden="false" customHeight="true" outlineLevel="0" collapsed="false">
      <c r="A32" s="5" t="s">
        <v>679</v>
      </c>
      <c r="B32" s="6" t="n">
        <v>45735</v>
      </c>
      <c r="C32" s="5" t="s">
        <v>50</v>
      </c>
      <c r="D32" s="5" t="n">
        <v>0</v>
      </c>
      <c r="E32" s="5" t="s">
        <v>649</v>
      </c>
      <c r="F32" s="5" t="s">
        <v>646</v>
      </c>
    </row>
    <row r="33" customFormat="false" ht="15" hidden="false" customHeight="true" outlineLevel="0" collapsed="false">
      <c r="A33" s="5" t="s">
        <v>680</v>
      </c>
      <c r="B33" s="6" t="n">
        <v>45722</v>
      </c>
      <c r="C33" s="5" t="s">
        <v>80</v>
      </c>
      <c r="D33" s="5" t="n">
        <v>0</v>
      </c>
      <c r="E33" s="5" t="s">
        <v>662</v>
      </c>
      <c r="F33" s="5" t="s">
        <v>642</v>
      </c>
    </row>
    <row r="34" customFormat="false" ht="15" hidden="false" customHeight="true" outlineLevel="0" collapsed="false">
      <c r="A34" s="5" t="s">
        <v>668</v>
      </c>
      <c r="B34" s="5" t="n">
        <v>45047</v>
      </c>
      <c r="C34" s="5" t="s">
        <v>60</v>
      </c>
      <c r="D34" s="5" t="n">
        <v>0</v>
      </c>
      <c r="E34" s="5" t="s">
        <v>662</v>
      </c>
      <c r="F34" s="5" t="s">
        <v>642</v>
      </c>
    </row>
    <row r="35" customFormat="false" ht="15" hidden="false" customHeight="true" outlineLevel="0" collapsed="false">
      <c r="A35" s="5" t="s">
        <v>681</v>
      </c>
      <c r="B35" s="5" t="s">
        <v>682</v>
      </c>
      <c r="C35" s="5" t="s">
        <v>106</v>
      </c>
      <c r="D35" s="5"/>
      <c r="E35" s="5" t="s">
        <v>658</v>
      </c>
      <c r="F35" s="5"/>
    </row>
    <row r="36" customFormat="false" ht="15" hidden="false" customHeight="true" outlineLevel="0" collapsed="false">
      <c r="A36" s="5" t="s">
        <v>657</v>
      </c>
      <c r="B36" s="5" t="s">
        <v>683</v>
      </c>
      <c r="C36" s="5" t="s">
        <v>650</v>
      </c>
      <c r="D36" s="5"/>
      <c r="E36" s="5" t="s">
        <v>662</v>
      </c>
      <c r="F36" s="5" t="s">
        <v>646</v>
      </c>
    </row>
    <row r="37" customFormat="false" ht="15" hidden="false" customHeight="true" outlineLevel="0" collapsed="false">
      <c r="A37" s="5" t="s">
        <v>684</v>
      </c>
      <c r="B37" s="5" t="s">
        <v>685</v>
      </c>
      <c r="C37" s="5" t="s">
        <v>50</v>
      </c>
      <c r="D37" s="5" t="n">
        <v>5</v>
      </c>
      <c r="E37" s="5" t="s">
        <v>641</v>
      </c>
      <c r="F37" s="5" t="s">
        <v>642</v>
      </c>
    </row>
    <row r="38" customFormat="false" ht="15" hidden="false" customHeight="true" outlineLevel="0" collapsed="false">
      <c r="A38" s="5" t="s">
        <v>686</v>
      </c>
      <c r="B38" s="5" t="s">
        <v>687</v>
      </c>
      <c r="C38" s="5" t="s">
        <v>106</v>
      </c>
      <c r="D38" s="5"/>
      <c r="E38" s="5" t="s">
        <v>662</v>
      </c>
      <c r="F38" s="5" t="s">
        <v>646</v>
      </c>
    </row>
    <row r="39" customFormat="false" ht="15" hidden="false" customHeight="true" outlineLevel="0" collapsed="false">
      <c r="A39" s="5" t="s">
        <v>673</v>
      </c>
      <c r="B39" s="5" t="s">
        <v>688</v>
      </c>
      <c r="C39" s="5" t="s">
        <v>80</v>
      </c>
      <c r="D39" s="5" t="n">
        <v>5</v>
      </c>
      <c r="E39" s="5" t="s">
        <v>662</v>
      </c>
      <c r="F39" s="5" t="s">
        <v>644</v>
      </c>
    </row>
    <row r="40" customFormat="false" ht="15" hidden="false" customHeight="true" outlineLevel="0" collapsed="false">
      <c r="A40" s="5" t="s">
        <v>689</v>
      </c>
      <c r="B40" s="5" t="s">
        <v>690</v>
      </c>
      <c r="C40" s="5" t="s">
        <v>60</v>
      </c>
      <c r="D40" s="5" t="n">
        <v>3</v>
      </c>
      <c r="E40" s="5" t="s">
        <v>649</v>
      </c>
      <c r="F40" s="5"/>
    </row>
    <row r="41" customFormat="false" ht="15" hidden="false" customHeight="true" outlineLevel="0" collapsed="false">
      <c r="A41" s="5" t="s">
        <v>689</v>
      </c>
      <c r="B41" s="6" t="n">
        <v>45819</v>
      </c>
      <c r="C41" s="5" t="s">
        <v>50</v>
      </c>
      <c r="D41" s="5" t="n">
        <v>0</v>
      </c>
      <c r="E41" s="5" t="s">
        <v>658</v>
      </c>
      <c r="F41" s="5" t="s">
        <v>642</v>
      </c>
    </row>
    <row r="42" customFormat="false" ht="15" hidden="false" customHeight="true" outlineLevel="0" collapsed="false">
      <c r="A42" s="5" t="s">
        <v>691</v>
      </c>
      <c r="B42" s="6" t="n">
        <v>45403</v>
      </c>
      <c r="C42" s="5" t="s">
        <v>60</v>
      </c>
      <c r="D42" s="5" t="n">
        <v>5</v>
      </c>
      <c r="E42" s="5" t="s">
        <v>641</v>
      </c>
      <c r="F42" s="5" t="s">
        <v>644</v>
      </c>
    </row>
    <row r="43" customFormat="false" ht="15" hidden="false" customHeight="true" outlineLevel="0" collapsed="false">
      <c r="A43" s="5" t="s">
        <v>691</v>
      </c>
      <c r="B43" s="6" t="n">
        <v>45401</v>
      </c>
      <c r="C43" s="5" t="s">
        <v>80</v>
      </c>
      <c r="D43" s="5" t="n">
        <v>5</v>
      </c>
      <c r="E43" s="5" t="s">
        <v>641</v>
      </c>
      <c r="F43" s="5" t="s">
        <v>646</v>
      </c>
    </row>
    <row r="44" customFormat="false" ht="15" hidden="false" customHeight="true" outlineLevel="0" collapsed="false">
      <c r="A44" s="5" t="s">
        <v>692</v>
      </c>
      <c r="B44" s="5" t="s">
        <v>693</v>
      </c>
      <c r="C44" s="5" t="s">
        <v>650</v>
      </c>
      <c r="D44" s="5"/>
      <c r="E44" s="5" t="s">
        <v>662</v>
      </c>
      <c r="F44" s="5" t="s">
        <v>667</v>
      </c>
    </row>
    <row r="45" customFormat="false" ht="15" hidden="false" customHeight="true" outlineLevel="0" collapsed="false">
      <c r="A45" s="5" t="s">
        <v>680</v>
      </c>
      <c r="B45" s="5" t="s">
        <v>694</v>
      </c>
      <c r="C45" s="5" t="s">
        <v>50</v>
      </c>
      <c r="D45" s="5" t="n">
        <v>4</v>
      </c>
      <c r="E45" s="5"/>
      <c r="F45" s="5" t="s">
        <v>667</v>
      </c>
    </row>
    <row r="46" customFormat="false" ht="15" hidden="false" customHeight="true" outlineLevel="0" collapsed="false">
      <c r="A46" s="5" t="s">
        <v>679</v>
      </c>
      <c r="B46" s="6" t="n">
        <v>45427</v>
      </c>
      <c r="C46" s="5" t="s">
        <v>60</v>
      </c>
      <c r="D46" s="5" t="n">
        <v>4</v>
      </c>
      <c r="E46" s="5" t="s">
        <v>658</v>
      </c>
      <c r="F46" s="5" t="s">
        <v>644</v>
      </c>
    </row>
    <row r="47" customFormat="false" ht="15" hidden="false" customHeight="true" outlineLevel="0" collapsed="false">
      <c r="A47" s="5" t="s">
        <v>679</v>
      </c>
      <c r="B47" s="6" t="n">
        <v>45437</v>
      </c>
      <c r="C47" s="5" t="s">
        <v>106</v>
      </c>
      <c r="D47" s="5"/>
      <c r="E47" s="5" t="s">
        <v>649</v>
      </c>
      <c r="F47" s="5"/>
    </row>
    <row r="48" customFormat="false" ht="15" hidden="false" customHeight="true" outlineLevel="0" collapsed="false">
      <c r="A48" s="5" t="s">
        <v>695</v>
      </c>
      <c r="B48" s="6" t="n">
        <v>45542</v>
      </c>
      <c r="C48" s="5" t="s">
        <v>80</v>
      </c>
      <c r="D48" s="5" t="n">
        <v>4</v>
      </c>
      <c r="E48" s="5" t="s">
        <v>658</v>
      </c>
      <c r="F48" s="5" t="s">
        <v>644</v>
      </c>
    </row>
    <row r="49" customFormat="false" ht="15" hidden="false" customHeight="true" outlineLevel="0" collapsed="false">
      <c r="A49" s="5" t="s">
        <v>696</v>
      </c>
      <c r="B49" s="6" t="n">
        <v>45028</v>
      </c>
      <c r="C49" s="5" t="s">
        <v>666</v>
      </c>
      <c r="D49" s="5"/>
      <c r="E49" s="5"/>
      <c r="F49" s="5"/>
    </row>
    <row r="50" customFormat="false" ht="15" hidden="false" customHeight="true" outlineLevel="0" collapsed="false">
      <c r="A50" s="5" t="s">
        <v>697</v>
      </c>
      <c r="B50" s="6" t="n">
        <v>45037</v>
      </c>
      <c r="C50" s="5" t="s">
        <v>60</v>
      </c>
      <c r="D50" s="5" t="n">
        <v>0</v>
      </c>
      <c r="E50" s="5" t="s">
        <v>649</v>
      </c>
      <c r="F50" s="5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3"/>
  </cols>
  <sheetData>
    <row r="1" customFormat="false" ht="15" hidden="false" customHeight="true" outlineLevel="0" collapsed="false">
      <c r="A1" s="4" t="s">
        <v>698</v>
      </c>
      <c r="B1" s="4" t="s">
        <v>699</v>
      </c>
      <c r="C1" s="4" t="s">
        <v>700</v>
      </c>
      <c r="D1" s="4" t="s">
        <v>701</v>
      </c>
      <c r="E1" s="4" t="s">
        <v>702</v>
      </c>
      <c r="F1" s="4" t="s">
        <v>703</v>
      </c>
    </row>
    <row r="2" customFormat="false" ht="15" hidden="false" customHeight="true" outlineLevel="0" collapsed="false">
      <c r="A2" s="5" t="s">
        <v>704</v>
      </c>
      <c r="B2" s="5" t="s">
        <v>705</v>
      </c>
      <c r="C2" s="6" t="n">
        <v>14266</v>
      </c>
      <c r="D2" s="6" t="n">
        <v>45570</v>
      </c>
      <c r="E2" s="5" t="s">
        <v>56</v>
      </c>
      <c r="F2" s="5" t="s">
        <v>706</v>
      </c>
    </row>
    <row r="3" customFormat="false" ht="15" hidden="false" customHeight="true" outlineLevel="0" collapsed="false">
      <c r="A3" s="5" t="s">
        <v>707</v>
      </c>
      <c r="B3" s="5" t="s">
        <v>708</v>
      </c>
      <c r="C3" s="6" t="n">
        <v>22860</v>
      </c>
      <c r="D3" s="6" t="n">
        <v>45576</v>
      </c>
      <c r="E3" s="5" t="s">
        <v>220</v>
      </c>
      <c r="F3" s="5" t="s">
        <v>62</v>
      </c>
    </row>
    <row r="4" customFormat="false" ht="15" hidden="false" customHeight="true" outlineLevel="0" collapsed="false">
      <c r="A4" s="5" t="s">
        <v>709</v>
      </c>
      <c r="B4" s="5" t="s">
        <v>710</v>
      </c>
      <c r="C4" s="6" t="n">
        <v>10702</v>
      </c>
      <c r="D4" s="6" t="n">
        <v>45188</v>
      </c>
      <c r="E4" s="5" t="s">
        <v>102</v>
      </c>
      <c r="F4" s="5" t="s">
        <v>62</v>
      </c>
    </row>
    <row r="5" customFormat="false" ht="15" hidden="false" customHeight="true" outlineLevel="0" collapsed="false">
      <c r="A5" s="5" t="s">
        <v>711</v>
      </c>
      <c r="B5" s="5" t="s">
        <v>712</v>
      </c>
      <c r="C5" s="6" t="n">
        <v>17795</v>
      </c>
      <c r="D5" s="6" t="n">
        <v>45691</v>
      </c>
      <c r="E5" s="5" t="s">
        <v>102</v>
      </c>
      <c r="F5" s="5" t="s">
        <v>87</v>
      </c>
    </row>
    <row r="6" customFormat="false" ht="15" hidden="false" customHeight="true" outlineLevel="0" collapsed="false">
      <c r="A6" s="5" t="s">
        <v>713</v>
      </c>
      <c r="B6" s="5" t="s">
        <v>714</v>
      </c>
      <c r="C6" s="6" t="n">
        <v>22965</v>
      </c>
      <c r="D6" s="6" t="n">
        <v>45078</v>
      </c>
      <c r="E6" s="5" t="s">
        <v>56</v>
      </c>
      <c r="F6" s="5" t="s">
        <v>715</v>
      </c>
    </row>
    <row r="7" customFormat="false" ht="15" hidden="false" customHeight="true" outlineLevel="0" collapsed="false">
      <c r="A7" s="5" t="s">
        <v>716</v>
      </c>
      <c r="B7" s="5" t="s">
        <v>717</v>
      </c>
      <c r="C7" s="6" t="n">
        <v>22747</v>
      </c>
      <c r="D7" s="6" t="n">
        <v>45481</v>
      </c>
      <c r="E7" s="5" t="s">
        <v>102</v>
      </c>
      <c r="F7" s="5" t="s">
        <v>62</v>
      </c>
    </row>
    <row r="8" customFormat="false" ht="15" hidden="false" customHeight="true" outlineLevel="0" collapsed="false">
      <c r="A8" s="5" t="s">
        <v>718</v>
      </c>
      <c r="B8" s="5" t="s">
        <v>719</v>
      </c>
      <c r="C8" s="6" t="n">
        <v>19317</v>
      </c>
      <c r="D8" s="6" t="n">
        <v>45421</v>
      </c>
      <c r="E8" s="5" t="s">
        <v>102</v>
      </c>
      <c r="F8" s="5" t="s">
        <v>706</v>
      </c>
    </row>
    <row r="9" customFormat="false" ht="15" hidden="false" customHeight="true" outlineLevel="0" collapsed="false">
      <c r="A9" s="5" t="s">
        <v>720</v>
      </c>
      <c r="B9" s="5" t="s">
        <v>721</v>
      </c>
      <c r="C9" s="6" t="n">
        <v>21506</v>
      </c>
      <c r="D9" s="6" t="n">
        <v>45336</v>
      </c>
      <c r="E9" s="5" t="s">
        <v>220</v>
      </c>
      <c r="F9" s="5" t="s">
        <v>62</v>
      </c>
    </row>
    <row r="10" customFormat="false" ht="15" hidden="false" customHeight="true" outlineLevel="0" collapsed="false">
      <c r="A10" s="5" t="s">
        <v>722</v>
      </c>
      <c r="B10" s="5" t="s">
        <v>723</v>
      </c>
      <c r="C10" s="6" t="n">
        <v>16470</v>
      </c>
      <c r="D10" s="6" t="n">
        <v>45760</v>
      </c>
      <c r="E10" s="5" t="s">
        <v>220</v>
      </c>
      <c r="F10" s="5" t="s">
        <v>715</v>
      </c>
    </row>
    <row r="11" customFormat="false" ht="15" hidden="false" customHeight="true" outlineLevel="0" collapsed="false">
      <c r="A11" s="5" t="s">
        <v>724</v>
      </c>
      <c r="B11" s="5" t="s">
        <v>725</v>
      </c>
      <c r="C11" s="6" t="n">
        <v>17268</v>
      </c>
      <c r="D11" s="6" t="n">
        <v>45670</v>
      </c>
      <c r="E11" s="5" t="s">
        <v>56</v>
      </c>
      <c r="F11" s="5" t="s">
        <v>62</v>
      </c>
    </row>
    <row r="12" customFormat="false" ht="15" hidden="false" customHeight="true" outlineLevel="0" collapsed="false">
      <c r="A12" s="5" t="s">
        <v>726</v>
      </c>
      <c r="B12" s="5" t="s">
        <v>727</v>
      </c>
      <c r="C12" s="6" t="n">
        <v>21681</v>
      </c>
      <c r="D12" s="6" t="n">
        <v>45264</v>
      </c>
      <c r="E12" s="5" t="s">
        <v>220</v>
      </c>
      <c r="F12" s="5" t="s">
        <v>87</v>
      </c>
    </row>
    <row r="13" customFormat="false" ht="15" hidden="false" customHeight="true" outlineLevel="0" collapsed="false">
      <c r="A13" s="5" t="s">
        <v>728</v>
      </c>
      <c r="B13" s="5" t="s">
        <v>729</v>
      </c>
      <c r="C13" s="6" t="n">
        <v>11129</v>
      </c>
      <c r="D13" s="6" t="n">
        <v>45381</v>
      </c>
      <c r="E13" s="5" t="s">
        <v>102</v>
      </c>
      <c r="F13" s="5" t="s">
        <v>87</v>
      </c>
    </row>
    <row r="14" customFormat="false" ht="15" hidden="false" customHeight="true" outlineLevel="0" collapsed="false">
      <c r="A14" s="5" t="s">
        <v>730</v>
      </c>
      <c r="B14" s="5" t="s">
        <v>731</v>
      </c>
      <c r="C14" s="6" t="n">
        <v>17720</v>
      </c>
      <c r="D14" s="6" t="n">
        <v>44944</v>
      </c>
      <c r="E14" s="5" t="s">
        <v>220</v>
      </c>
      <c r="F14" s="5" t="s">
        <v>706</v>
      </c>
    </row>
    <row r="15" customFormat="false" ht="15" hidden="false" customHeight="true" outlineLevel="0" collapsed="false">
      <c r="A15" s="5" t="s">
        <v>732</v>
      </c>
      <c r="B15" s="5" t="s">
        <v>733</v>
      </c>
      <c r="C15" s="6" t="n">
        <v>18266</v>
      </c>
      <c r="D15" s="6" t="n">
        <v>45718</v>
      </c>
      <c r="E15" s="5" t="s">
        <v>102</v>
      </c>
      <c r="F15" s="5" t="s">
        <v>87</v>
      </c>
    </row>
    <row r="16" customFormat="false" ht="15" hidden="false" customHeight="true" outlineLevel="0" collapsed="false">
      <c r="A16" s="5" t="s">
        <v>734</v>
      </c>
      <c r="B16" s="5" t="s">
        <v>735</v>
      </c>
      <c r="C16" s="6" t="n">
        <v>23782</v>
      </c>
      <c r="D16" s="6" t="n">
        <v>45440</v>
      </c>
      <c r="E16" s="5" t="s">
        <v>220</v>
      </c>
      <c r="F16" s="5" t="s">
        <v>62</v>
      </c>
    </row>
    <row r="17" customFormat="false" ht="15" hidden="false" customHeight="true" outlineLevel="0" collapsed="false">
      <c r="A17" s="5" t="s">
        <v>736</v>
      </c>
      <c r="B17" s="5" t="s">
        <v>737</v>
      </c>
      <c r="C17" s="6" t="n">
        <v>15528</v>
      </c>
      <c r="D17" s="6" t="n">
        <v>45262</v>
      </c>
      <c r="E17" s="5" t="s">
        <v>56</v>
      </c>
      <c r="F17" s="5" t="s">
        <v>715</v>
      </c>
    </row>
    <row r="18" customFormat="false" ht="15" hidden="false" customHeight="true" outlineLevel="0" collapsed="false">
      <c r="A18" s="5" t="s">
        <v>738</v>
      </c>
      <c r="B18" s="5" t="s">
        <v>739</v>
      </c>
      <c r="C18" s="6" t="n">
        <v>21921</v>
      </c>
      <c r="D18" s="6" t="n">
        <v>45023</v>
      </c>
      <c r="E18" s="5" t="s">
        <v>102</v>
      </c>
      <c r="F18" s="5" t="s">
        <v>706</v>
      </c>
    </row>
    <row r="19" customFormat="false" ht="15" hidden="false" customHeight="true" outlineLevel="0" collapsed="false">
      <c r="A19" s="5" t="s">
        <v>740</v>
      </c>
      <c r="B19" s="5" t="s">
        <v>741</v>
      </c>
      <c r="C19" s="6" t="n">
        <v>18919</v>
      </c>
      <c r="D19" s="6" t="n">
        <v>45703</v>
      </c>
      <c r="E19" s="5" t="s">
        <v>102</v>
      </c>
      <c r="F19" s="5" t="s">
        <v>706</v>
      </c>
    </row>
    <row r="20" customFormat="false" ht="15" hidden="false" customHeight="true" outlineLevel="0" collapsed="false">
      <c r="A20" s="5" t="s">
        <v>742</v>
      </c>
      <c r="B20" s="5" t="s">
        <v>743</v>
      </c>
      <c r="C20" s="6" t="n">
        <v>23632</v>
      </c>
      <c r="D20" s="6" t="n">
        <v>45328</v>
      </c>
      <c r="E20" s="5" t="s">
        <v>102</v>
      </c>
      <c r="F20" s="5" t="s">
        <v>62</v>
      </c>
    </row>
    <row r="21" customFormat="false" ht="15" hidden="false" customHeight="true" outlineLevel="0" collapsed="false">
      <c r="A21" s="5" t="s">
        <v>744</v>
      </c>
      <c r="B21" s="5" t="s">
        <v>745</v>
      </c>
      <c r="C21" s="6" t="n">
        <v>22820</v>
      </c>
      <c r="D21" s="6" t="n">
        <v>44950</v>
      </c>
      <c r="E21" s="5" t="s">
        <v>102</v>
      </c>
      <c r="F21" s="5" t="s">
        <v>62</v>
      </c>
    </row>
    <row r="22" customFormat="false" ht="15" hidden="false" customHeight="true" outlineLevel="0" collapsed="false">
      <c r="A22" s="5" t="s">
        <v>746</v>
      </c>
      <c r="B22" s="5" t="s">
        <v>747</v>
      </c>
      <c r="C22" s="6" t="n">
        <v>23719</v>
      </c>
      <c r="D22" s="6" t="n">
        <v>45435</v>
      </c>
      <c r="E22" s="5" t="s">
        <v>220</v>
      </c>
      <c r="F22" s="5" t="s">
        <v>62</v>
      </c>
    </row>
    <row r="23" customFormat="false" ht="15" hidden="false" customHeight="true" outlineLevel="0" collapsed="false">
      <c r="A23" s="5" t="s">
        <v>748</v>
      </c>
      <c r="B23" s="5" t="s">
        <v>749</v>
      </c>
      <c r="C23" s="6" t="n">
        <v>21445</v>
      </c>
      <c r="D23" s="6" t="n">
        <v>45308</v>
      </c>
      <c r="E23" s="5" t="s">
        <v>220</v>
      </c>
      <c r="F23" s="5" t="s">
        <v>62</v>
      </c>
    </row>
    <row r="24" customFormat="false" ht="15" hidden="false" customHeight="true" outlineLevel="0" collapsed="false">
      <c r="A24" s="5" t="s">
        <v>750</v>
      </c>
      <c r="B24" s="5" t="s">
        <v>751</v>
      </c>
      <c r="C24" s="6" t="n">
        <v>14623</v>
      </c>
      <c r="D24" s="6" t="n">
        <v>45695</v>
      </c>
      <c r="E24" s="5" t="s">
        <v>220</v>
      </c>
      <c r="F24" s="5" t="s">
        <v>87</v>
      </c>
    </row>
    <row r="25" customFormat="false" ht="15" hidden="false" customHeight="true" outlineLevel="0" collapsed="false">
      <c r="A25" s="5" t="s">
        <v>752</v>
      </c>
      <c r="B25" s="5" t="s">
        <v>753</v>
      </c>
      <c r="C25" s="6" t="n">
        <v>15133</v>
      </c>
      <c r="D25" s="6" t="n">
        <v>45616</v>
      </c>
      <c r="E25" s="5" t="s">
        <v>56</v>
      </c>
      <c r="F25" s="5" t="s">
        <v>87</v>
      </c>
    </row>
    <row r="26" customFormat="false" ht="15" hidden="false" customHeight="true" outlineLevel="0" collapsed="false">
      <c r="A26" s="5" t="s">
        <v>754</v>
      </c>
      <c r="B26" s="5" t="s">
        <v>755</v>
      </c>
      <c r="C26" s="6" t="n">
        <v>12187</v>
      </c>
      <c r="D26" s="6" t="n">
        <v>45521</v>
      </c>
      <c r="E26" s="5" t="s">
        <v>220</v>
      </c>
      <c r="F26" s="5" t="s">
        <v>62</v>
      </c>
    </row>
    <row r="27" customFormat="false" ht="15" hidden="false" customHeight="true" outlineLevel="0" collapsed="false">
      <c r="A27" s="5" t="s">
        <v>756</v>
      </c>
      <c r="B27" s="5" t="s">
        <v>757</v>
      </c>
      <c r="C27" s="6" t="n">
        <v>19264</v>
      </c>
      <c r="D27" s="6" t="n">
        <v>45206</v>
      </c>
      <c r="E27" s="5" t="s">
        <v>220</v>
      </c>
      <c r="F27" s="5" t="s">
        <v>87</v>
      </c>
    </row>
    <row r="28" customFormat="false" ht="15" hidden="false" customHeight="true" outlineLevel="0" collapsed="false">
      <c r="A28" s="5" t="s">
        <v>758</v>
      </c>
      <c r="B28" s="5" t="s">
        <v>759</v>
      </c>
      <c r="C28" s="6" t="n">
        <v>22633</v>
      </c>
      <c r="D28" s="6" t="n">
        <v>45004</v>
      </c>
      <c r="E28" s="5" t="s">
        <v>102</v>
      </c>
      <c r="F28" s="5" t="s">
        <v>62</v>
      </c>
    </row>
    <row r="29" customFormat="false" ht="15" hidden="false" customHeight="true" outlineLevel="0" collapsed="false">
      <c r="A29" s="5" t="s">
        <v>760</v>
      </c>
      <c r="B29" s="5" t="s">
        <v>761</v>
      </c>
      <c r="C29" s="6" t="n">
        <v>10370</v>
      </c>
      <c r="D29" s="6" t="n">
        <v>45093</v>
      </c>
      <c r="E29" s="5" t="s">
        <v>56</v>
      </c>
      <c r="F29" s="5" t="s">
        <v>706</v>
      </c>
    </row>
    <row r="30" customFormat="false" ht="15" hidden="false" customHeight="true" outlineLevel="0" collapsed="false">
      <c r="A30" s="5" t="s">
        <v>762</v>
      </c>
      <c r="B30" s="5" t="s">
        <v>763</v>
      </c>
      <c r="C30" s="6" t="n">
        <v>20830</v>
      </c>
      <c r="D30" s="6" t="n">
        <v>45446</v>
      </c>
      <c r="E30" s="5" t="s">
        <v>56</v>
      </c>
      <c r="F30" s="5" t="s">
        <v>62</v>
      </c>
    </row>
    <row r="31" customFormat="false" ht="15" hidden="false" customHeight="true" outlineLevel="0" collapsed="false">
      <c r="A31" s="5" t="s">
        <v>764</v>
      </c>
      <c r="B31" s="5" t="s">
        <v>765</v>
      </c>
      <c r="C31" s="6" t="n">
        <v>21242</v>
      </c>
      <c r="D31" s="6" t="n">
        <v>44969</v>
      </c>
      <c r="E31" s="5" t="s">
        <v>56</v>
      </c>
      <c r="F31" s="5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2026-09-28T18:34:11Z</dcterms:created>
  <dc:creator>openpyxl</dc:creator>
  <dc:description/>
  <dc:language>en-US</dc:language>
  <cp:lastModifiedBy/>
  <dcterms:modified xsi:type="dcterms:W3CDTF">2026-09-28T20:32:33Z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